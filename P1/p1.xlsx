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EVM\P1\"/>
    </mc:Choice>
  </mc:AlternateContent>
  <xr:revisionPtr revIDLastSave="0" documentId="13_ncr:1_{59B89F94-435D-41FC-8A7F-0190A50B86F6}" xr6:coauthVersionLast="47" xr6:coauthVersionMax="47" xr10:uidLastSave="{00000000-0000-0000-0000-000000000000}"/>
  <bookViews>
    <workbookView xWindow="1590" yWindow="-15855" windowWidth="26520" windowHeight="14235" activeTab="1" xr2:uid="{A478C077-355C-4AFE-9648-28617F8B39F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L3" i="1" s="1"/>
  <c r="L4" i="1" s="1"/>
  <c r="L5" i="1" s="1"/>
  <c r="L7" i="1" s="1"/>
  <c r="O3" i="1"/>
  <c r="O4" i="1"/>
  <c r="O5" i="1"/>
  <c r="O7" i="1"/>
  <c r="O2" i="1"/>
  <c r="P2" i="1" s="1"/>
  <c r="K8" i="1"/>
  <c r="G2" i="1"/>
  <c r="M2" i="1" s="1"/>
  <c r="Q2" i="1" s="1"/>
  <c r="G3" i="1"/>
  <c r="M3" i="1" s="1"/>
  <c r="R3" i="1" s="1"/>
  <c r="G4" i="1"/>
  <c r="G5" i="1"/>
  <c r="M5" i="1" s="1"/>
  <c r="Q5" i="1" s="1"/>
  <c r="G7" i="1"/>
  <c r="M7" i="1" s="1"/>
  <c r="P3" i="1" l="1"/>
  <c r="P4" i="1" s="1"/>
  <c r="P5" i="1" s="1"/>
  <c r="N2" i="1"/>
  <c r="N3" i="1" s="1"/>
  <c r="H2" i="1"/>
  <c r="H3" i="1" s="1"/>
  <c r="H4" i="1" s="1"/>
  <c r="H5" i="1" s="1"/>
  <c r="H7" i="1" s="1"/>
  <c r="Q3" i="1"/>
  <c r="S5" i="1"/>
  <c r="M4" i="1"/>
  <c r="T7" i="1"/>
  <c r="O8" i="1"/>
  <c r="G8" i="1"/>
  <c r="S3" i="1"/>
  <c r="T5" i="1"/>
  <c r="R5" i="1"/>
  <c r="T3" i="1"/>
  <c r="R2" i="1"/>
  <c r="S4" i="1" l="1"/>
  <c r="N4" i="1"/>
  <c r="N5" i="1" s="1"/>
  <c r="M8" i="1"/>
  <c r="Q8" i="1" s="1"/>
  <c r="T4" i="1"/>
  <c r="R4" i="1"/>
  <c r="R8" i="1" s="1"/>
  <c r="Q4" i="1"/>
  <c r="T2" i="1"/>
  <c r="T8" i="1" s="1"/>
  <c r="S2" i="1"/>
  <c r="S8" i="1" l="1"/>
</calcChain>
</file>

<file path=xl/sharedStrings.xml><?xml version="1.0" encoding="utf-8"?>
<sst xmlns="http://schemas.openxmlformats.org/spreadsheetml/2006/main" count="26" uniqueCount="25">
  <si>
    <t>Build a Machine:</t>
  </si>
  <si>
    <t>Gather Requirements</t>
  </si>
  <si>
    <t>Create Design</t>
  </si>
  <si>
    <t>Build Machine</t>
  </si>
  <si>
    <t>Test and Refine</t>
  </si>
  <si>
    <t>Roll Out</t>
  </si>
  <si>
    <t>days</t>
  </si>
  <si>
    <t>cost/day</t>
  </si>
  <si>
    <t>Actual % complete</t>
  </si>
  <si>
    <t>AC (ACWP)</t>
  </si>
  <si>
    <t>EV (BCWP)</t>
  </si>
  <si>
    <t>CV (EV-AC)</t>
  </si>
  <si>
    <t>SPI (EV/PV)</t>
  </si>
  <si>
    <t>SV (EV-PV)</t>
  </si>
  <si>
    <t>CPI (EV/AC)</t>
  </si>
  <si>
    <t>PV (BCWS)</t>
  </si>
  <si>
    <t>planned cost</t>
  </si>
  <si>
    <t>days compl</t>
  </si>
  <si>
    <t>S-curve</t>
  </si>
  <si>
    <t>time</t>
  </si>
  <si>
    <t>pc</t>
  </si>
  <si>
    <t>ev</t>
  </si>
  <si>
    <t>pv</t>
  </si>
  <si>
    <t>ac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</si>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</sst>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9" fontId="0" fillId="0" borderId="0" xfId="1" applyFont="1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0" fontId="2" fillId="0" borderId="2" xfId="0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0" fontId="0" fillId="0" borderId="1" xfId="0" applyBorder="1" applyAlignment="1">
      <alignment horizontal="center" wrapText="1"/>
    </xf>
    <xf numFmtId="0" fontId="0" fillId="0" borderId="0" xfId="0" quotePrefix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013908975663769E-2"/>
          <c:y val="5.0925925925925923E-2"/>
          <c:w val="0.82943703465638219"/>
          <c:h val="0.73614173228346458"/>
        </c:manualLayout>
      </c:layout>
      <c:lineChart>
        <c:grouping val="standard"/>
        <c:varyColors val="0"/>
        <c:ser>
          <c:idx val="1"/>
          <c:order val="0"/>
          <c:tx>
            <c:strRef>
              <c:f>Sheet1!$N$1</c:f>
              <c:strCache>
                <c:ptCount val="1"/>
                <c:pt idx="0">
                  <c:v>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Sheet1!$N$2:$N$7</c:f>
              <c:numCache>
                <c:formatCode>General</c:formatCode>
                <c:ptCount val="6"/>
                <c:pt idx="0">
                  <c:v>2400</c:v>
                </c:pt>
                <c:pt idx="1">
                  <c:v>3600</c:v>
                </c:pt>
                <c:pt idx="2">
                  <c:v>5400</c:v>
                </c:pt>
                <c:pt idx="3">
                  <c:v>6100</c:v>
                </c:pt>
                <c:pt idx="4">
                  <c:v>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A5-4C2B-988F-412038F1B83A}"/>
            </c:ext>
          </c:extLst>
        </c:ser>
        <c:ser>
          <c:idx val="2"/>
          <c:order val="1"/>
          <c:tx>
            <c:strRef>
              <c:f>Sheet1!$P$1</c:f>
              <c:strCache>
                <c:ptCount val="1"/>
                <c:pt idx="0">
                  <c:v>pv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Sheet1!$P$2:$P$7</c:f>
              <c:numCache>
                <c:formatCode>General</c:formatCode>
                <c:ptCount val="6"/>
                <c:pt idx="0">
                  <c:v>2400</c:v>
                </c:pt>
                <c:pt idx="1">
                  <c:v>3600</c:v>
                </c:pt>
                <c:pt idx="2">
                  <c:v>6300</c:v>
                </c:pt>
                <c:pt idx="3">
                  <c:v>7000</c:v>
                </c:pt>
                <c:pt idx="4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A5-4C2B-988F-412038F1B83A}"/>
            </c:ext>
          </c:extLst>
        </c:ser>
        <c:ser>
          <c:idx val="0"/>
          <c:order val="2"/>
          <c:tx>
            <c:strRef>
              <c:f>Sheet1!$L$1</c:f>
              <c:strCache>
                <c:ptCount val="1"/>
                <c:pt idx="0">
                  <c:v>ac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Sheet1!$L$2:$L$7</c:f>
              <c:numCache>
                <c:formatCode>General</c:formatCode>
                <c:ptCount val="6"/>
                <c:pt idx="0">
                  <c:v>2400</c:v>
                </c:pt>
                <c:pt idx="1">
                  <c:v>3900</c:v>
                </c:pt>
                <c:pt idx="2">
                  <c:v>6600</c:v>
                </c:pt>
                <c:pt idx="3">
                  <c:v>7300</c:v>
                </c:pt>
                <c:pt idx="4">
                  <c:v>7300</c:v>
                </c:pt>
                <c:pt idx="5">
                  <c:v>7300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A5-4C2B-988F-412038F1B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789104"/>
        <c:axId val="1493731632"/>
      </c:lineChart>
      <c:scatterChart>
        <c:scatterStyle val="smoothMarker"/>
        <c:varyColors val="0"/>
        <c:ser>
          <c:idx val="3"/>
          <c:order val="3"/>
          <c:tx>
            <c:strRef>
              <c:f>Sheet1!$B$1</c:f>
              <c:strCache>
                <c:ptCount val="1"/>
                <c:pt idx="0">
                  <c:v>now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Sheet1!$A$5:$A$6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Sheet1!$B$5:$B$6</c:f>
              <c:numCache>
                <c:formatCode>General</c:formatCode>
                <c:ptCount val="2"/>
                <c:pt idx="0">
                  <c:v>12000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8A5-4C2B-988F-412038F1B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056176"/>
        <c:axId val="1368020656"/>
      </c:scatterChart>
      <c:catAx>
        <c:axId val="137478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93731632"/>
        <c:crosses val="autoZero"/>
        <c:auto val="1"/>
        <c:lblAlgn val="ctr"/>
        <c:lblOffset val="100"/>
        <c:noMultiLvlLbl val="0"/>
      </c:catAx>
      <c:valAx>
        <c:axId val="1493731632"/>
        <c:scaling>
          <c:orientation val="minMax"/>
          <c:max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74789104"/>
        <c:crosses val="autoZero"/>
        <c:crossBetween val="between"/>
        <c:minorUnit val="100"/>
      </c:valAx>
      <c:valAx>
        <c:axId val="13680206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68056176"/>
        <c:crosses val="max"/>
        <c:crossBetween val="midCat"/>
      </c:valAx>
      <c:valAx>
        <c:axId val="1368056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8020656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22225</xdr:colOff>
      <xdr:row>9</xdr:row>
      <xdr:rowOff>114300</xdr:rowOff>
    </xdr:from>
    <xdr:to>
      <xdr:col>10</xdr:col>
      <xdr:colOff>574675</xdr:colOff>
      <xdr:row>24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E37D61-6AD1-2532-B972-75869600A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F826-B0FE-44CA-81FE-F05F4896366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8C3C-69B3-4024-A640-39100F7CE2E6}">
  <dimension ref="A1:T11"/>
  <sheetViews>
    <sheetView tabSelected="1" topLeftCell="C1" workbookViewId="0">
      <selection activeCell="O14" sqref="O14"/>
    </sheetView>
  </sheetViews>
  <sheetFormatPr defaultRowHeight="14.5" x14ac:dyDescent="0.35"/>
  <cols>
    <col min="1" max="2" width="9.6328125" customWidth="1"/>
    <col min="3" max="3" width="21.54296875" customWidth="1"/>
    <col min="7" max="8" width="10.453125" customWidth="1"/>
    <col min="10" max="10" width="16.453125" customWidth="1"/>
    <col min="11" max="12" width="14.7265625" customWidth="1"/>
    <col min="17" max="17" width="8.81640625" bestFit="1" customWidth="1"/>
    <col min="18" max="18" width="9.6328125" customWidth="1"/>
    <col min="19" max="19" width="8.81640625" bestFit="1" customWidth="1"/>
    <col min="20" max="20" width="10" bestFit="1" customWidth="1"/>
  </cols>
  <sheetData>
    <row r="1" spans="1:20" ht="33" customHeight="1" x14ac:dyDescent="0.35">
      <c r="A1" t="s">
        <v>19</v>
      </c>
      <c r="B1" t="s">
        <v>24</v>
      </c>
      <c r="C1" s="1" t="s">
        <v>0</v>
      </c>
      <c r="D1" s="9" t="s">
        <v>6</v>
      </c>
      <c r="E1" s="9" t="s">
        <v>17</v>
      </c>
      <c r="F1" s="9" t="s">
        <v>7</v>
      </c>
      <c r="G1" s="9" t="s">
        <v>16</v>
      </c>
      <c r="H1" s="9" t="s">
        <v>20</v>
      </c>
      <c r="I1" s="9"/>
      <c r="J1" s="9" t="s">
        <v>8</v>
      </c>
      <c r="K1" s="9" t="s">
        <v>9</v>
      </c>
      <c r="L1" s="9" t="s">
        <v>23</v>
      </c>
      <c r="M1" s="9" t="s">
        <v>10</v>
      </c>
      <c r="N1" s="9" t="s">
        <v>21</v>
      </c>
      <c r="O1" s="9" t="s">
        <v>15</v>
      </c>
      <c r="P1" s="9" t="s">
        <v>22</v>
      </c>
      <c r="Q1" s="9" t="s">
        <v>14</v>
      </c>
      <c r="R1" s="9" t="s">
        <v>11</v>
      </c>
      <c r="S1" s="9" t="s">
        <v>12</v>
      </c>
      <c r="T1" s="9" t="s">
        <v>13</v>
      </c>
    </row>
    <row r="2" spans="1:20" x14ac:dyDescent="0.35">
      <c r="A2">
        <v>1</v>
      </c>
      <c r="B2" s="10"/>
      <c r="C2" t="s">
        <v>1</v>
      </c>
      <c r="D2">
        <v>3</v>
      </c>
      <c r="E2">
        <v>3</v>
      </c>
      <c r="F2">
        <v>800</v>
      </c>
      <c r="G2">
        <f t="shared" ref="G2:G7" si="0">D2*F2</f>
        <v>2400</v>
      </c>
      <c r="H2">
        <f>G2</f>
        <v>2400</v>
      </c>
      <c r="J2" s="2">
        <v>1</v>
      </c>
      <c r="K2">
        <v>2400</v>
      </c>
      <c r="L2">
        <f>K2</f>
        <v>2400</v>
      </c>
      <c r="M2" s="5">
        <f>J2*G2</f>
        <v>2400</v>
      </c>
      <c r="N2">
        <f>M2</f>
        <v>2400</v>
      </c>
      <c r="O2">
        <f>F2*E2</f>
        <v>2400</v>
      </c>
      <c r="P2">
        <f>O2</f>
        <v>2400</v>
      </c>
      <c r="Q2" s="3">
        <f>M2/K2</f>
        <v>1</v>
      </c>
      <c r="R2" s="5">
        <f>M2-K2</f>
        <v>0</v>
      </c>
      <c r="S2" s="3">
        <f>M2/O2</f>
        <v>1</v>
      </c>
      <c r="T2" s="4">
        <f>M2-O2</f>
        <v>0</v>
      </c>
    </row>
    <row r="3" spans="1:20" x14ac:dyDescent="0.35">
      <c r="A3">
        <v>2</v>
      </c>
      <c r="B3" s="10"/>
      <c r="C3" t="s">
        <v>2</v>
      </c>
      <c r="D3">
        <v>2</v>
      </c>
      <c r="E3">
        <v>2</v>
      </c>
      <c r="F3">
        <v>600</v>
      </c>
      <c r="G3">
        <f t="shared" si="0"/>
        <v>1200</v>
      </c>
      <c r="H3">
        <f>G3+H2</f>
        <v>3600</v>
      </c>
      <c r="J3" s="2">
        <v>1</v>
      </c>
      <c r="K3">
        <v>1500</v>
      </c>
      <c r="L3">
        <f>K3+L2</f>
        <v>3900</v>
      </c>
      <c r="M3" s="5">
        <f t="shared" ref="M3:M7" si="1">J3*G3</f>
        <v>1200</v>
      </c>
      <c r="N3">
        <f>M3+N2</f>
        <v>3600</v>
      </c>
      <c r="O3">
        <f t="shared" ref="O3:O7" si="2">F3*E3</f>
        <v>1200</v>
      </c>
      <c r="P3">
        <f>O3+P2</f>
        <v>3600</v>
      </c>
      <c r="Q3" s="3">
        <f>M3/K3</f>
        <v>0.8</v>
      </c>
      <c r="R3" s="5">
        <f t="shared" ref="R3:R5" si="3">M3-K3</f>
        <v>-300</v>
      </c>
      <c r="S3" s="3">
        <f>M3/O3</f>
        <v>1</v>
      </c>
      <c r="T3" s="4">
        <f t="shared" ref="T3:T7" si="4">M3-O3</f>
        <v>0</v>
      </c>
    </row>
    <row r="4" spans="1:20" x14ac:dyDescent="0.35">
      <c r="A4">
        <v>3</v>
      </c>
      <c r="B4" s="10"/>
      <c r="C4" t="s">
        <v>3</v>
      </c>
      <c r="D4">
        <v>4</v>
      </c>
      <c r="E4">
        <v>3</v>
      </c>
      <c r="F4">
        <v>900</v>
      </c>
      <c r="G4">
        <f t="shared" si="0"/>
        <v>3600</v>
      </c>
      <c r="H4">
        <f t="shared" ref="H4:H5" si="5">G4+H3</f>
        <v>7200</v>
      </c>
      <c r="J4" s="2">
        <v>0.5</v>
      </c>
      <c r="K4">
        <v>2700</v>
      </c>
      <c r="L4">
        <f t="shared" ref="L4:L5" si="6">K4+L3</f>
        <v>6600</v>
      </c>
      <c r="M4" s="5">
        <f t="shared" si="1"/>
        <v>1800</v>
      </c>
      <c r="N4">
        <f t="shared" ref="N4:P5" si="7">M4+N3</f>
        <v>5400</v>
      </c>
      <c r="O4">
        <f t="shared" si="2"/>
        <v>2700</v>
      </c>
      <c r="P4">
        <f t="shared" si="7"/>
        <v>6300</v>
      </c>
      <c r="Q4" s="3">
        <f>M4/K4</f>
        <v>0.66666666666666663</v>
      </c>
      <c r="R4" s="5">
        <f t="shared" si="3"/>
        <v>-900</v>
      </c>
      <c r="S4" s="3">
        <f>M4/O4</f>
        <v>0.66666666666666663</v>
      </c>
      <c r="T4" s="4">
        <f t="shared" si="4"/>
        <v>-900</v>
      </c>
    </row>
    <row r="5" spans="1:20" x14ac:dyDescent="0.35">
      <c r="A5">
        <v>4</v>
      </c>
      <c r="B5" s="10">
        <v>12000</v>
      </c>
      <c r="C5" t="s">
        <v>4</v>
      </c>
      <c r="D5">
        <v>4</v>
      </c>
      <c r="E5">
        <v>1</v>
      </c>
      <c r="F5">
        <v>700</v>
      </c>
      <c r="G5">
        <f t="shared" si="0"/>
        <v>2800</v>
      </c>
      <c r="H5">
        <f t="shared" si="5"/>
        <v>10000</v>
      </c>
      <c r="J5" s="2">
        <v>0.25</v>
      </c>
      <c r="K5">
        <v>700</v>
      </c>
      <c r="L5">
        <f t="shared" si="6"/>
        <v>7300</v>
      </c>
      <c r="M5" s="5">
        <f t="shared" si="1"/>
        <v>700</v>
      </c>
      <c r="N5">
        <f t="shared" si="7"/>
        <v>6100</v>
      </c>
      <c r="O5">
        <f t="shared" si="2"/>
        <v>700</v>
      </c>
      <c r="P5">
        <f t="shared" si="7"/>
        <v>7000</v>
      </c>
      <c r="Q5" s="3">
        <f>M5/K5</f>
        <v>1</v>
      </c>
      <c r="R5" s="5">
        <f t="shared" si="3"/>
        <v>0</v>
      </c>
      <c r="S5" s="3">
        <f>M5/O5</f>
        <v>1</v>
      </c>
      <c r="T5" s="4">
        <f t="shared" si="4"/>
        <v>0</v>
      </c>
    </row>
    <row r="6" spans="1:20" x14ac:dyDescent="0.35">
      <c r="A6">
        <v>4</v>
      </c>
      <c r="B6" s="10">
        <v>0</v>
      </c>
      <c r="C6" t="s">
        <v>4</v>
      </c>
      <c r="D6">
        <v>4</v>
      </c>
      <c r="E6">
        <v>1</v>
      </c>
      <c r="F6">
        <v>700</v>
      </c>
      <c r="G6">
        <v>2800</v>
      </c>
      <c r="H6">
        <v>10000</v>
      </c>
      <c r="J6" s="2">
        <v>0.25</v>
      </c>
      <c r="K6">
        <v>700</v>
      </c>
      <c r="L6">
        <v>7300</v>
      </c>
      <c r="M6" s="5">
        <v>700</v>
      </c>
      <c r="N6">
        <v>6100</v>
      </c>
      <c r="O6">
        <v>700</v>
      </c>
      <c r="P6">
        <v>7000</v>
      </c>
      <c r="Q6" s="3">
        <v>1</v>
      </c>
      <c r="R6" s="5">
        <v>0</v>
      </c>
      <c r="S6" s="3">
        <v>1</v>
      </c>
      <c r="T6" s="4">
        <v>0</v>
      </c>
    </row>
    <row r="7" spans="1:20" x14ac:dyDescent="0.35">
      <c r="A7">
        <v>5</v>
      </c>
      <c r="B7" s="10"/>
      <c r="C7" t="s">
        <v>5</v>
      </c>
      <c r="D7">
        <v>3</v>
      </c>
      <c r="E7">
        <v>0</v>
      </c>
      <c r="F7">
        <v>500</v>
      </c>
      <c r="G7">
        <f t="shared" si="0"/>
        <v>1500</v>
      </c>
      <c r="H7">
        <f>G7+H5</f>
        <v>11500</v>
      </c>
      <c r="J7" s="2">
        <v>0</v>
      </c>
      <c r="K7">
        <v>0</v>
      </c>
      <c r="L7">
        <f>K7+L5</f>
        <v>7300</v>
      </c>
      <c r="M7" s="5">
        <f t="shared" si="1"/>
        <v>0</v>
      </c>
      <c r="O7">
        <f t="shared" si="2"/>
        <v>0</v>
      </c>
      <c r="Q7" s="3">
        <v>0</v>
      </c>
      <c r="R7" s="5">
        <v>0</v>
      </c>
      <c r="S7" s="3">
        <v>0</v>
      </c>
      <c r="T7" s="4">
        <f t="shared" si="4"/>
        <v>0</v>
      </c>
    </row>
    <row r="8" spans="1:20" ht="15" thickBot="1" x14ac:dyDescent="0.4">
      <c r="C8" s="6"/>
      <c r="D8" s="6"/>
      <c r="E8" s="6"/>
      <c r="F8" s="6"/>
      <c r="G8" s="6">
        <f>SUM(G2:G7)</f>
        <v>14300</v>
      </c>
      <c r="H8" s="6"/>
      <c r="I8" s="6"/>
      <c r="J8" s="6"/>
      <c r="K8" s="6">
        <f>SUM(K2:K7)</f>
        <v>8000</v>
      </c>
      <c r="L8" s="6"/>
      <c r="M8" s="7">
        <f>SUM(M2:M7)</f>
        <v>6800</v>
      </c>
      <c r="N8" s="7"/>
      <c r="O8" s="6">
        <f>SUM(O2:O7)</f>
        <v>7700</v>
      </c>
      <c r="P8" s="6"/>
      <c r="Q8" s="8">
        <f>M8/K8</f>
        <v>0.85</v>
      </c>
      <c r="R8" s="8">
        <f>SUM(R2:R7)</f>
        <v>-1200</v>
      </c>
      <c r="S8" s="8">
        <f>M8/O8</f>
        <v>0.88311688311688308</v>
      </c>
      <c r="T8" s="8">
        <f>SUM(T2:T7)</f>
        <v>-900</v>
      </c>
    </row>
    <row r="11" spans="1:20" x14ac:dyDescent="0.35">
      <c r="C1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2026-08-13T06:23:09Z</dcterms:created>
  <dcterms:modified xsi:type="dcterms:W3CDTF">2026-08-13T10:07:28Z</dcterms:modified>
</cp:coreProperties>
</file>