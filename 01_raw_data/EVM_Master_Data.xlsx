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V_Baseline" sheetId="1" state="visible" r:id="rId1"/>
    <sheet xmlns:r="http://schemas.openxmlformats.org/officeDocument/2006/relationships" name="Progress_EV" sheetId="2" state="visible" r:id="rId2"/>
    <sheet xmlns:r="http://schemas.openxmlformats.org/officeDocument/2006/relationships" name="Actual_Costs" sheetId="3" state="visible" r:id="rId3"/>
    <sheet xmlns:r="http://schemas.openxmlformats.org/officeDocument/2006/relationships" name="Dim_WBS" sheetId="4" state="visible" r:id="rId4"/>
    <sheet xmlns:r="http://schemas.openxmlformats.org/officeDocument/2006/relationships" name="Bastick_S_Curve_Mod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100.0%"/>
    <numFmt numFmtId="166" formatCode="$#,##0"/>
  </numFmts>
  <fonts count="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166" fontId="4" fillId="0" borderId="1" applyAlignment="1" pivotButton="0" quotePrefix="0" xfId="0">
      <alignment horizontal="right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166" fontId="3" fillId="0" borderId="2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166" fontId="4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ont>
        <b val="1"/>
        <color rgb="00059669"/>
      </font>
      <fill>
        <patternFill patternType="solid">
          <fgColor rgb="00D1FAE5"/>
          <bgColor rgb="00D1FAE5"/>
        </patternFill>
      </fill>
    </dxf>
    <dxf>
      <font>
        <b val="1"/>
        <color rgb="00D97706"/>
      </font>
      <fill>
        <patternFill patternType="solid">
          <fgColor rgb="00FEF3C7"/>
          <bgColor rgb="00FEF3C7"/>
        </patternFill>
      </fill>
    </dxf>
    <dxf>
      <font>
        <b val="1"/>
        <color rgb="00DC2626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Item_ID</t>
        </is>
      </c>
      <c r="B1" s="2" t="inlineStr">
        <is>
          <t>WBS_Code</t>
        </is>
      </c>
      <c r="C1" s="1" t="inlineStr">
        <is>
          <t>Task_Name</t>
        </is>
      </c>
      <c r="D1" s="1" t="inlineStr">
        <is>
          <t>TBC</t>
        </is>
      </c>
      <c r="E1" s="2" t="inlineStr">
        <is>
          <t>Month_1</t>
        </is>
      </c>
      <c r="F1" s="2" t="inlineStr">
        <is>
          <t>Month_2</t>
        </is>
      </c>
      <c r="G1" s="2" t="inlineStr">
        <is>
          <t>Month_3</t>
        </is>
      </c>
      <c r="H1" s="2" t="inlineStr">
        <is>
          <t>Month_4</t>
        </is>
      </c>
      <c r="I1" s="2" t="inlineStr">
        <is>
          <t>Month_5</t>
        </is>
      </c>
      <c r="J1" s="2" t="inlineStr">
        <is>
          <t>Month_6</t>
        </is>
      </c>
    </row>
    <row r="2">
      <c r="A2" s="3" t="inlineStr">
        <is>
          <t>T101</t>
        </is>
      </c>
      <c r="B2" s="3" t="inlineStr">
        <is>
          <t>1.1.1</t>
        </is>
      </c>
      <c r="C2" s="4" t="inlineStr">
        <is>
          <t>Systems Engineering</t>
        </is>
      </c>
      <c r="D2" s="5" t="n">
        <v>120000</v>
      </c>
      <c r="E2" s="5" t="n">
        <v>40000</v>
      </c>
      <c r="F2" s="5" t="n">
        <v>50000</v>
      </c>
      <c r="G2" s="5" t="n">
        <v>30000</v>
      </c>
      <c r="H2" s="5" t="n">
        <v>0</v>
      </c>
      <c r="I2" s="5" t="n">
        <v>0</v>
      </c>
      <c r="J2" s="5" t="n">
        <v>0</v>
      </c>
    </row>
    <row r="3">
      <c r="A3" s="3" t="inlineStr">
        <is>
          <t>T102</t>
        </is>
      </c>
      <c r="B3" s="3" t="inlineStr">
        <is>
          <t>1.1.2</t>
        </is>
      </c>
      <c r="C3" s="4" t="inlineStr">
        <is>
          <t>Procurement</t>
        </is>
      </c>
      <c r="D3" s="5" t="n">
        <v>300000</v>
      </c>
      <c r="E3" s="5" t="n">
        <v>100000</v>
      </c>
      <c r="F3" s="5" t="n">
        <v>150000</v>
      </c>
      <c r="G3" s="5" t="n">
        <v>50000</v>
      </c>
      <c r="H3" s="5" t="n">
        <v>0</v>
      </c>
      <c r="I3" s="5" t="n">
        <v>0</v>
      </c>
      <c r="J3" s="5" t="n">
        <v>0</v>
      </c>
    </row>
    <row r="4">
      <c r="A4" s="3" t="inlineStr">
        <is>
          <t>T103</t>
        </is>
      </c>
      <c r="B4" s="3" t="inlineStr">
        <is>
          <t>1.2.1</t>
        </is>
      </c>
      <c r="C4" s="4" t="inlineStr">
        <is>
          <t>Site Excavation</t>
        </is>
      </c>
      <c r="D4" s="5" t="n">
        <v>180000</v>
      </c>
      <c r="E4" s="5" t="n">
        <v>0</v>
      </c>
      <c r="F4" s="5" t="n">
        <v>20000</v>
      </c>
      <c r="G4" s="5" t="n">
        <v>80000</v>
      </c>
      <c r="H4" s="5" t="n">
        <v>60000</v>
      </c>
      <c r="I4" s="5" t="n">
        <v>20000</v>
      </c>
      <c r="J4" s="5" t="n">
        <v>0</v>
      </c>
    </row>
    <row r="5">
      <c r="A5" s="3" t="inlineStr">
        <is>
          <t>T104</t>
        </is>
      </c>
      <c r="B5" s="3" t="inlineStr">
        <is>
          <t>1.2.2</t>
        </is>
      </c>
      <c r="C5" s="4" t="inlineStr">
        <is>
          <t>Foundation Concrete</t>
        </is>
      </c>
      <c r="D5" s="5" t="n">
        <v>240000</v>
      </c>
      <c r="E5" s="5" t="n">
        <v>0</v>
      </c>
      <c r="F5" s="5" t="n">
        <v>0</v>
      </c>
      <c r="G5" s="5" t="n">
        <v>40000</v>
      </c>
      <c r="H5" s="5" t="n">
        <v>120000</v>
      </c>
      <c r="I5" s="5" t="n">
        <v>80000</v>
      </c>
      <c r="J5" s="5" t="n">
        <v>0</v>
      </c>
    </row>
    <row r="6">
      <c r="A6" s="3" t="inlineStr">
        <is>
          <t>T105</t>
        </is>
      </c>
      <c r="B6" s="3" t="inlineStr">
        <is>
          <t>1.3.1</t>
        </is>
      </c>
      <c r="C6" s="4" t="inlineStr">
        <is>
          <t>Structural Assembly</t>
        </is>
      </c>
      <c r="D6" s="5" t="n">
        <v>360000</v>
      </c>
      <c r="E6" s="5" t="n">
        <v>0</v>
      </c>
      <c r="F6" s="5" t="n">
        <v>0</v>
      </c>
      <c r="G6" s="5" t="n">
        <v>0</v>
      </c>
      <c r="H6" s="5" t="n">
        <v>60000</v>
      </c>
      <c r="I6" s="5" t="n">
        <v>200000</v>
      </c>
      <c r="J6" s="5" t="n">
        <v>100000</v>
      </c>
    </row>
    <row r="7">
      <c r="A7" s="6" t="inlineStr">
        <is>
          <t>Total</t>
        </is>
      </c>
      <c r="B7" s="6" t="inlineStr"/>
      <c r="C7" s="7" t="inlineStr">
        <is>
          <t>Total Baseline Budget</t>
        </is>
      </c>
      <c r="D7" s="8">
        <f>SUM(D2:D6)</f>
        <v/>
      </c>
      <c r="E7" s="8">
        <f>SUM(E2:E6)</f>
        <v/>
      </c>
      <c r="F7" s="8">
        <f>SUM(F2:F6)</f>
        <v/>
      </c>
      <c r="G7" s="8">
        <f>SUM(G2:G6)</f>
        <v/>
      </c>
      <c r="H7" s="8">
        <f>SUM(H2:H6)</f>
        <v/>
      </c>
      <c r="I7" s="8">
        <f>SUM(I2:I6)</f>
        <v/>
      </c>
      <c r="J7" s="8">
        <f>SUM(J2:J6)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3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Item_ID</t>
        </is>
      </c>
      <c r="B1" s="2" t="inlineStr">
        <is>
          <t>WBS_Code</t>
        </is>
      </c>
      <c r="C1" s="1" t="inlineStr">
        <is>
          <t>Task_Name</t>
        </is>
      </c>
      <c r="D1" s="1" t="inlineStr">
        <is>
          <t>TBC</t>
        </is>
      </c>
      <c r="E1" s="2" t="inlineStr">
        <is>
          <t>Month_1_%</t>
        </is>
      </c>
      <c r="F1" s="2" t="inlineStr">
        <is>
          <t>Month_2_%</t>
        </is>
      </c>
      <c r="G1" s="2" t="inlineStr">
        <is>
          <t>Month_3_%</t>
        </is>
      </c>
      <c r="H1" s="2" t="inlineStr">
        <is>
          <t>Month_4_%</t>
        </is>
      </c>
      <c r="I1" s="2" t="inlineStr">
        <is>
          <t>Month_5_%</t>
        </is>
      </c>
      <c r="J1" s="2" t="inlineStr">
        <is>
          <t>Month_6_%</t>
        </is>
      </c>
    </row>
    <row r="2">
      <c r="A2" s="3" t="inlineStr">
        <is>
          <t>T101</t>
        </is>
      </c>
      <c r="B2" s="3" t="inlineStr">
        <is>
          <t>1.1.1</t>
        </is>
      </c>
      <c r="C2" s="4" t="inlineStr">
        <is>
          <t>Systems Engineering</t>
        </is>
      </c>
      <c r="D2" s="5" t="n">
        <v>120000</v>
      </c>
      <c r="E2" s="9" t="n">
        <v>0.3333</v>
      </c>
      <c r="F2" s="9" t="n">
        <v>0.75</v>
      </c>
      <c r="G2" s="9" t="n">
        <v>1</v>
      </c>
      <c r="H2" s="9" t="n">
        <v>1</v>
      </c>
      <c r="I2" s="9" t="n">
        <v>1</v>
      </c>
      <c r="J2" s="9" t="n">
        <v>1</v>
      </c>
    </row>
    <row r="3">
      <c r="A3" s="3" t="inlineStr">
        <is>
          <t>T102</t>
        </is>
      </c>
      <c r="B3" s="3" t="inlineStr">
        <is>
          <t>1.1.2</t>
        </is>
      </c>
      <c r="C3" s="4" t="inlineStr">
        <is>
          <t>Procurement</t>
        </is>
      </c>
      <c r="D3" s="5" t="n">
        <v>300000</v>
      </c>
      <c r="E3" s="9" t="n">
        <v>0.1</v>
      </c>
      <c r="F3" s="9" t="n">
        <v>0.5</v>
      </c>
      <c r="G3" s="9" t="n">
        <v>0.8</v>
      </c>
      <c r="H3" s="9" t="n">
        <v>0.8</v>
      </c>
      <c r="I3" s="9" t="n">
        <v>0.9</v>
      </c>
      <c r="J3" s="9" t="n">
        <v>1</v>
      </c>
    </row>
    <row r="4">
      <c r="A4" s="3" t="inlineStr">
        <is>
          <t>T103</t>
        </is>
      </c>
      <c r="B4" s="3" t="inlineStr">
        <is>
          <t>1.2.1</t>
        </is>
      </c>
      <c r="C4" s="4" t="inlineStr">
        <is>
          <t>Site Excavation</t>
        </is>
      </c>
      <c r="D4" s="5" t="n">
        <v>180000</v>
      </c>
      <c r="E4" s="9" t="n">
        <v>0</v>
      </c>
      <c r="F4" s="9" t="n">
        <v>0.1111</v>
      </c>
      <c r="G4" s="9" t="n">
        <v>0.5556</v>
      </c>
      <c r="H4" s="9" t="n">
        <v>0.8889</v>
      </c>
      <c r="I4" s="9" t="n">
        <v>1</v>
      </c>
      <c r="J4" s="9" t="n">
        <v>1</v>
      </c>
    </row>
    <row r="5">
      <c r="A5" s="3" t="inlineStr">
        <is>
          <t>T104</t>
        </is>
      </c>
      <c r="B5" s="3" t="inlineStr">
        <is>
          <t>1.2.2</t>
        </is>
      </c>
      <c r="C5" s="4" t="inlineStr">
        <is>
          <t>Foundation Concrete</t>
        </is>
      </c>
      <c r="D5" s="5" t="n">
        <v>240000</v>
      </c>
      <c r="E5" s="9" t="n">
        <v>0</v>
      </c>
      <c r="F5" s="9" t="n">
        <v>0</v>
      </c>
      <c r="G5" s="9" t="n">
        <v>0.1</v>
      </c>
      <c r="H5" s="9" t="n">
        <v>0.4</v>
      </c>
      <c r="I5" s="9" t="n">
        <v>0.8</v>
      </c>
      <c r="J5" s="9" t="n">
        <v>1</v>
      </c>
    </row>
    <row r="6">
      <c r="A6" s="3" t="inlineStr">
        <is>
          <t>T105</t>
        </is>
      </c>
      <c r="B6" s="3" t="inlineStr">
        <is>
          <t>1.3.1</t>
        </is>
      </c>
      <c r="C6" s="4" t="inlineStr">
        <is>
          <t>Structural Assembly</t>
        </is>
      </c>
      <c r="D6" s="5" t="n">
        <v>360000</v>
      </c>
      <c r="E6" s="9" t="n">
        <v>0</v>
      </c>
      <c r="F6" s="9" t="n">
        <v>0</v>
      </c>
      <c r="G6" s="9" t="n">
        <v>0</v>
      </c>
      <c r="H6" s="9" t="n">
        <v>0.15</v>
      </c>
      <c r="I6" s="9" t="n">
        <v>0.6</v>
      </c>
      <c r="J6" s="9" t="n">
        <v>0.9</v>
      </c>
    </row>
  </sheetData>
  <conditionalFormatting sqref="E2:J6">
    <cfRule type="cellIs" priority="1" operator="equal" dxfId="0">
      <formula>1.0</formula>
    </cfRule>
    <cfRule type="cellIs" priority="2" operator="between" dxfId="1">
      <formula>0.8</formula>
      <formula>0.999</formula>
    </cfRule>
    <cfRule type="cellIs" priority="3" operator="lessThan" dxfId="2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3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Item_ID</t>
        </is>
      </c>
      <c r="B1" s="2" t="inlineStr">
        <is>
          <t>WBS_Code</t>
        </is>
      </c>
      <c r="C1" s="1" t="inlineStr">
        <is>
          <t>Task_Name</t>
        </is>
      </c>
      <c r="D1" s="1" t="inlineStr">
        <is>
          <t>TBC</t>
        </is>
      </c>
      <c r="E1" s="2" t="inlineStr">
        <is>
          <t>Month_1_AC</t>
        </is>
      </c>
      <c r="F1" s="2" t="inlineStr">
        <is>
          <t>Month_2_AC</t>
        </is>
      </c>
      <c r="G1" s="2" t="inlineStr">
        <is>
          <t>Month_3_AC</t>
        </is>
      </c>
      <c r="H1" s="2" t="inlineStr">
        <is>
          <t>Month_4_AC</t>
        </is>
      </c>
      <c r="I1" s="2" t="inlineStr">
        <is>
          <t>Month_5_AC</t>
        </is>
      </c>
      <c r="J1" s="2" t="inlineStr">
        <is>
          <t>Month_6_AC</t>
        </is>
      </c>
    </row>
    <row r="2">
      <c r="A2" s="3" t="inlineStr">
        <is>
          <t>T101</t>
        </is>
      </c>
      <c r="B2" s="3" t="inlineStr">
        <is>
          <t>1.1.1</t>
        </is>
      </c>
      <c r="C2" s="4" t="inlineStr">
        <is>
          <t>Systems Engineering</t>
        </is>
      </c>
      <c r="D2" s="5" t="n">
        <v>120000</v>
      </c>
      <c r="E2" s="5" t="n">
        <v>42000</v>
      </c>
      <c r="F2" s="5" t="n">
        <v>51000</v>
      </c>
      <c r="G2" s="5" t="n">
        <v>32000</v>
      </c>
      <c r="H2" s="5" t="n">
        <v>0</v>
      </c>
      <c r="I2" s="5" t="n">
        <v>0</v>
      </c>
      <c r="J2" s="5" t="n">
        <v>0</v>
      </c>
    </row>
    <row r="3">
      <c r="A3" s="3" t="inlineStr">
        <is>
          <t>T102</t>
        </is>
      </c>
      <c r="B3" s="3" t="inlineStr">
        <is>
          <t>1.1.2</t>
        </is>
      </c>
      <c r="C3" s="4" t="inlineStr">
        <is>
          <t>Procurement</t>
        </is>
      </c>
      <c r="D3" s="5" t="n">
        <v>300000</v>
      </c>
      <c r="E3" s="5" t="n">
        <v>95000</v>
      </c>
      <c r="F3" s="5" t="n">
        <v>160000</v>
      </c>
      <c r="G3" s="5" t="n">
        <v>55000</v>
      </c>
      <c r="H3" s="5" t="n">
        <v>5000</v>
      </c>
      <c r="I3" s="5" t="n">
        <v>12000</v>
      </c>
      <c r="J3" s="5" t="n">
        <v>28000</v>
      </c>
    </row>
    <row r="4">
      <c r="A4" s="3" t="inlineStr">
        <is>
          <t>T103</t>
        </is>
      </c>
      <c r="B4" s="3" t="inlineStr">
        <is>
          <t>1.2.1</t>
        </is>
      </c>
      <c r="C4" s="4" t="inlineStr">
        <is>
          <t>Site Excavation</t>
        </is>
      </c>
      <c r="D4" s="5" t="n">
        <v>180000</v>
      </c>
      <c r="E4" s="5" t="n">
        <v>0</v>
      </c>
      <c r="F4" s="5" t="n">
        <v>22000</v>
      </c>
      <c r="G4" s="5" t="n">
        <v>85000</v>
      </c>
      <c r="H4" s="5" t="n">
        <v>45000</v>
      </c>
      <c r="I4" s="5" t="n">
        <v>21000</v>
      </c>
      <c r="J4" s="5" t="n">
        <v>0</v>
      </c>
    </row>
    <row r="5">
      <c r="A5" s="3" t="inlineStr">
        <is>
          <t>T104</t>
        </is>
      </c>
      <c r="B5" s="3" t="inlineStr">
        <is>
          <t>1.2.2</t>
        </is>
      </c>
      <c r="C5" s="4" t="inlineStr">
        <is>
          <t>Foundation Concrete</t>
        </is>
      </c>
      <c r="D5" s="5" t="n">
        <v>240000</v>
      </c>
      <c r="E5" s="5" t="n">
        <v>0</v>
      </c>
      <c r="F5" s="5" t="n">
        <v>0</v>
      </c>
      <c r="G5" s="5" t="n">
        <v>38000</v>
      </c>
      <c r="H5" s="5" t="n">
        <v>92000</v>
      </c>
      <c r="I5" s="5" t="n">
        <v>84000</v>
      </c>
      <c r="J5" s="5" t="n">
        <v>41000</v>
      </c>
    </row>
    <row r="6">
      <c r="A6" s="3" t="inlineStr">
        <is>
          <t>T105</t>
        </is>
      </c>
      <c r="B6" s="3" t="inlineStr">
        <is>
          <t>1.3.1</t>
        </is>
      </c>
      <c r="C6" s="4" t="inlineStr">
        <is>
          <t>Structural Assembly</t>
        </is>
      </c>
      <c r="D6" s="5" t="n">
        <v>360000</v>
      </c>
      <c r="E6" s="5" t="n">
        <v>0</v>
      </c>
      <c r="F6" s="5" t="n">
        <v>0</v>
      </c>
      <c r="G6" s="5" t="n">
        <v>0</v>
      </c>
      <c r="H6" s="5" t="n">
        <v>55000</v>
      </c>
      <c r="I6" s="5" t="n">
        <v>185000</v>
      </c>
      <c r="J6" s="5" t="n">
        <v>96000</v>
      </c>
    </row>
    <row r="7">
      <c r="A7" s="6" t="inlineStr">
        <is>
          <t>Total</t>
        </is>
      </c>
      <c r="B7" s="6" t="inlineStr"/>
      <c r="C7" s="7" t="inlineStr">
        <is>
          <t>Total Actual Costs</t>
        </is>
      </c>
      <c r="D7" s="8">
        <f>SUM(D2:D6)</f>
        <v/>
      </c>
      <c r="E7" s="8">
        <f>SUM(E2:E6)</f>
        <v/>
      </c>
      <c r="F7" s="8">
        <f>SUM(F2:F6)</f>
        <v/>
      </c>
      <c r="G7" s="8">
        <f>SUM(G2:G6)</f>
        <v/>
      </c>
      <c r="H7" s="8">
        <f>SUM(H2:H6)</f>
        <v/>
      </c>
      <c r="I7" s="8">
        <f>SUM(I2:I6)</f>
        <v/>
      </c>
      <c r="J7" s="8">
        <f>SUM(J2:J6)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9" customWidth="1" min="4" max="4"/>
    <col width="23" customWidth="1" min="5" max="5"/>
    <col width="15" customWidth="1" min="6" max="6"/>
    <col width="12" customWidth="1" min="7" max="7"/>
  </cols>
  <sheetData>
    <row r="1">
      <c r="A1" s="1" t="inlineStr">
        <is>
          <t>Task_ID</t>
        </is>
      </c>
      <c r="B1" s="2" t="inlineStr">
        <is>
          <t>WBS_Code</t>
        </is>
      </c>
      <c r="C1" s="1" t="inlineStr">
        <is>
          <t>WBS_Level_1</t>
        </is>
      </c>
      <c r="D1" s="1" t="inlineStr">
        <is>
          <t>WBS_Level_2</t>
        </is>
      </c>
      <c r="E1" s="1" t="inlineStr">
        <is>
          <t>Task_Name</t>
        </is>
      </c>
      <c r="F1" s="1" t="inlineStr">
        <is>
          <t>CAM</t>
        </is>
      </c>
      <c r="G1" s="1" t="inlineStr">
        <is>
          <t>TBC</t>
        </is>
      </c>
    </row>
    <row r="2">
      <c r="A2" s="3" t="inlineStr">
        <is>
          <t>T101</t>
        </is>
      </c>
      <c r="B2" s="3" t="inlineStr">
        <is>
          <t>1.1.1</t>
        </is>
      </c>
      <c r="C2" s="4" t="inlineStr">
        <is>
          <t>1.0 Engineering</t>
        </is>
      </c>
      <c r="D2" s="4" t="inlineStr">
        <is>
          <t>1.1 Systems</t>
        </is>
      </c>
      <c r="E2" s="4" t="inlineStr">
        <is>
          <t>Systems Engineering</t>
        </is>
      </c>
      <c r="F2" s="4" t="inlineStr">
        <is>
          <t>L. Hansen</t>
        </is>
      </c>
      <c r="G2" s="5" t="n">
        <v>120000</v>
      </c>
    </row>
    <row r="3">
      <c r="A3" s="3" t="inlineStr">
        <is>
          <t>T102</t>
        </is>
      </c>
      <c r="B3" s="3" t="inlineStr">
        <is>
          <t>1.1.2</t>
        </is>
      </c>
      <c r="C3" s="4" t="inlineStr">
        <is>
          <t>1.0 Engineering</t>
        </is>
      </c>
      <c r="D3" s="4" t="inlineStr">
        <is>
          <t>1.1 Systems</t>
        </is>
      </c>
      <c r="E3" s="4" t="inlineStr">
        <is>
          <t>Procurement</t>
        </is>
      </c>
      <c r="F3" s="4" t="inlineStr">
        <is>
          <t>A. Olsen</t>
        </is>
      </c>
      <c r="G3" s="5" t="n">
        <v>300000</v>
      </c>
    </row>
    <row r="4">
      <c r="A4" s="3" t="inlineStr">
        <is>
          <t>T103</t>
        </is>
      </c>
      <c r="B4" s="3" t="inlineStr">
        <is>
          <t>1.2.1</t>
        </is>
      </c>
      <c r="C4" s="4" t="inlineStr">
        <is>
          <t>1.0 Construction</t>
        </is>
      </c>
      <c r="D4" s="4" t="inlineStr">
        <is>
          <t>1.2 Civil Works</t>
        </is>
      </c>
      <c r="E4" s="4" t="inlineStr">
        <is>
          <t>Site Excavation</t>
        </is>
      </c>
      <c r="F4" s="4" t="inlineStr">
        <is>
          <t>E. Johansen</t>
        </is>
      </c>
      <c r="G4" s="5" t="n">
        <v>180000</v>
      </c>
    </row>
    <row r="5">
      <c r="A5" s="3" t="inlineStr">
        <is>
          <t>T104</t>
        </is>
      </c>
      <c r="B5" s="3" t="inlineStr">
        <is>
          <t>1.2.2</t>
        </is>
      </c>
      <c r="C5" s="4" t="inlineStr">
        <is>
          <t>1.0 Construction</t>
        </is>
      </c>
      <c r="D5" s="4" t="inlineStr">
        <is>
          <t>1.2 Civil Works</t>
        </is>
      </c>
      <c r="E5" s="4" t="inlineStr">
        <is>
          <t>Foundation Concrete</t>
        </is>
      </c>
      <c r="F5" s="4" t="inlineStr">
        <is>
          <t>E. Johansen</t>
        </is>
      </c>
      <c r="G5" s="5" t="n">
        <v>240000</v>
      </c>
    </row>
    <row r="6">
      <c r="A6" s="3" t="inlineStr">
        <is>
          <t>T105</t>
        </is>
      </c>
      <c r="B6" s="3" t="inlineStr">
        <is>
          <t>1.3.1</t>
        </is>
      </c>
      <c r="C6" s="4" t="inlineStr">
        <is>
          <t>1.0 Construction</t>
        </is>
      </c>
      <c r="D6" s="4" t="inlineStr">
        <is>
          <t>1.3 Structural</t>
        </is>
      </c>
      <c r="E6" s="4" t="inlineStr">
        <is>
          <t>Structural Assembly</t>
        </is>
      </c>
      <c r="F6" s="4" t="inlineStr">
        <is>
          <t>K. Andersen</t>
        </is>
      </c>
      <c r="G6" s="5" t="n">
        <v>360000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Liam Bastick Parametric S-Curve Model</t>
        </is>
      </c>
    </row>
    <row r="3">
      <c r="A3" s="11" t="inlineStr">
        <is>
          <t>Parameter Name</t>
        </is>
      </c>
      <c r="B3" s="11" t="inlineStr">
        <is>
          <t>Value</t>
        </is>
      </c>
    </row>
    <row r="4">
      <c r="A4" s="12" t="inlineStr">
        <is>
          <t>Initial_Percentage_Completed</t>
        </is>
      </c>
      <c r="B4" s="13" t="n">
        <v>0</v>
      </c>
    </row>
    <row r="5">
      <c r="A5" s="12" t="inlineStr">
        <is>
          <t>Target_Percentage</t>
        </is>
      </c>
      <c r="B5" s="14" t="n">
        <v>1</v>
      </c>
    </row>
    <row r="6">
      <c r="A6" s="12" t="inlineStr">
        <is>
          <t>Exp_Factor</t>
        </is>
      </c>
      <c r="B6" s="15" t="n">
        <v>2.5</v>
      </c>
    </row>
    <row r="7">
      <c r="A7" s="12" t="inlineStr">
        <is>
          <t>Exp_Growth_Start_Month_No</t>
        </is>
      </c>
      <c r="B7" s="16" t="n">
        <v>1</v>
      </c>
    </row>
    <row r="8">
      <c r="A8" s="12" t="inlineStr">
        <is>
          <t>Exp_Duration_in_Months</t>
        </is>
      </c>
      <c r="B8" s="16" t="n">
        <v>6</v>
      </c>
    </row>
    <row r="9">
      <c r="A9" s="12" t="inlineStr">
        <is>
          <t>Total_Budget_Cost (BAC)</t>
        </is>
      </c>
      <c r="B9" s="17" t="n">
        <v>1200000</v>
      </c>
    </row>
    <row r="12">
      <c r="A12" s="11" t="inlineStr">
        <is>
          <t>Metric / Month</t>
        </is>
      </c>
      <c r="B12" s="11" t="inlineStr">
        <is>
          <t>Month 1</t>
        </is>
      </c>
      <c r="C12" s="11" t="inlineStr">
        <is>
          <t>Month 2</t>
        </is>
      </c>
      <c r="D12" s="11" t="inlineStr">
        <is>
          <t>Month 3</t>
        </is>
      </c>
      <c r="E12" s="11" t="inlineStr">
        <is>
          <t>Month 4</t>
        </is>
      </c>
      <c r="F12" s="11" t="inlineStr">
        <is>
          <t>Month 5</t>
        </is>
      </c>
      <c r="G12" s="11" t="inlineStr">
        <is>
          <t>Month 6</t>
        </is>
      </c>
    </row>
    <row r="13">
      <c r="A13" s="12" t="inlineStr">
        <is>
          <t>Month Index (t)</t>
        </is>
      </c>
      <c r="B13" s="18" t="n">
        <v>1</v>
      </c>
      <c r="C13" s="18" t="n">
        <v>2</v>
      </c>
      <c r="D13" s="18" t="n">
        <v>3</v>
      </c>
      <c r="E13" s="18" t="n">
        <v>4</v>
      </c>
      <c r="F13" s="18" t="n">
        <v>5</v>
      </c>
      <c r="G13" s="18" t="n">
        <v>6</v>
      </c>
    </row>
    <row r="14">
      <c r="A14" s="12" t="inlineStr">
        <is>
          <t>Cumulative % Complete (S-Curve)</t>
        </is>
      </c>
      <c r="B14" s="13">
        <f> $B$4 + ($B$5 - $B$4) / (1 + $B$6^(($B$7 + $B$8/2 - B13) / $B$8))</f>
        <v/>
      </c>
      <c r="C14" s="13">
        <f> $B$4 + ($B$5 - $B$4) / (1 + $B$6^(($B$7 + $B$8/2 - C13) / $B$8))</f>
        <v/>
      </c>
      <c r="D14" s="13">
        <f> $B$4 + ($B$5 - $B$4) / (1 + $B$6^(($B$7 + $B$8/2 - D13) / $B$8))</f>
        <v/>
      </c>
      <c r="E14" s="13">
        <f> $B$4 + ($B$5 - $B$4) / (1 + $B$6^(($B$7 + $B$8/2 - E13) / $B$8))</f>
        <v/>
      </c>
      <c r="F14" s="13">
        <f> $B$4 + ($B$5 - $B$4) / (1 + $B$6^(($B$7 + $B$8/2 - F13) / $B$8))</f>
        <v/>
      </c>
      <c r="G14" s="13">
        <f> $B$4 + ($B$5 - $B$4) / (1 + $B$6^(($B$7 + $B$8/2 - G13) / $B$8))</f>
        <v/>
      </c>
    </row>
    <row r="15">
      <c r="A15" s="12" t="inlineStr">
        <is>
          <t>Cumulative Planned Value ($)</t>
        </is>
      </c>
      <c r="B15" s="17">
        <f> B14 * $B$9</f>
        <v/>
      </c>
      <c r="C15" s="17">
        <f> C14 * $B$9</f>
        <v/>
      </c>
      <c r="D15" s="17">
        <f> D14 * $B$9</f>
        <v/>
      </c>
      <c r="E15" s="17">
        <f> E14 * $B$9</f>
        <v/>
      </c>
      <c r="F15" s="17">
        <f> F14 * $B$9</f>
        <v/>
      </c>
      <c r="G15" s="17">
        <f> G14 * $B$9</f>
        <v/>
      </c>
    </row>
    <row r="16">
      <c r="A16" s="12" t="inlineStr">
        <is>
          <t>Incremental Planned Value ($)</t>
        </is>
      </c>
      <c r="B16" s="17">
        <f> B15</f>
        <v/>
      </c>
      <c r="C16" s="17">
        <f> C15 - B15</f>
        <v/>
      </c>
      <c r="D16" s="17">
        <f> D15 - C15</f>
        <v/>
      </c>
      <c r="E16" s="17">
        <f> E15 - D15</f>
        <v/>
      </c>
      <c r="F16" s="17">
        <f> F15 - E15</f>
        <v/>
      </c>
      <c r="G16" s="17">
        <f> G15 - F15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2026-08-13T16:04:30Z</dcterms:created>
  <dcterms:modified xmlns:dcterms="http://purl.org/dc/terms/" xmlns:xsi="http://www.w3.org/2001/XMLSchema-instance" xsi:type="dcterms:W3CDTF">2026-08-13T16:04:30Z</dcterms:modified>
</cp:coreProperties>
</file>