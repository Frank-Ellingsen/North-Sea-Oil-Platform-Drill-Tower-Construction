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V_Baseline" sheetId="1" state="visible" r:id="rId1"/>
    <sheet xmlns:r="http://schemas.openxmlformats.org/officeDocument/2006/relationships" name="Progress_EV" sheetId="2" state="visible" r:id="rId2"/>
    <sheet xmlns:r="http://schemas.openxmlformats.org/officeDocument/2006/relationships" name="Actual_Costs" sheetId="3" state="visible" r:id="rId3"/>
    <sheet xmlns:r="http://schemas.openxmlformats.org/officeDocument/2006/relationships" name="Dim_WBS" sheetId="4" state="visible" r:id="rId4"/>
    <sheet xmlns:r="http://schemas.openxmlformats.org/officeDocument/2006/relationships" name="Bastick_S_Curve_Model" sheetId="5" state="visible" r:id="rId5"/>
    <sheet xmlns:r="http://schemas.openxmlformats.org/officeDocument/2006/relationships" name="Key_Milestones" sheetId="6" state="visible" r:id="rId6"/>
    <sheet xmlns:r="http://schemas.openxmlformats.org/officeDocument/2006/relationships" name="Risk_Register" sheetId="7" state="visible" r:id="rId7"/>
    <sheet xmlns:r="http://schemas.openxmlformats.org/officeDocument/2006/relationships" name="Waterfall_Bridge" sheetId="8" state="visible" r:id="rId8"/>
    <sheet xmlns:r="http://schemas.openxmlformats.org/officeDocument/2006/relationships" name="Cash_Burn_Rate" sheetId="9" state="visible" r:id="rId9"/>
    <sheet xmlns:r="http://schemas.openxmlformats.org/officeDocument/2006/relationships" name="Financial_Ratios" sheetId="10" state="visible" r:id="rId10"/>
    <sheet xmlns:r="http://schemas.openxmlformats.org/officeDocument/2006/relationships" name="Monte_Carlo_P90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100.0%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b val="1"/>
      <color rgb="00111827"/>
      <sz val="14"/>
    </font>
    <font>
      <name val="Calibri"/>
      <i val="1"/>
      <color rgb="006B7280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1F2937"/>
        <bgColor rgb="001F2937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right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164" fontId="3" fillId="0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164" fontId="4" fillId="0" borderId="1" applyAlignment="1" pivotButton="0" quotePrefix="0" xfId="0">
      <alignment horizontal="right"/>
    </xf>
    <xf numFmtId="164" fontId="3" fillId="0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3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right"/>
    </xf>
    <xf numFmtId="164" fontId="0" fillId="0" borderId="3" applyAlignment="1" pivotButton="0" quotePrefix="0" xfId="0">
      <alignment horizontal="right"/>
    </xf>
  </cellXfs>
  <cellStyles count="1">
    <cellStyle name="Normal" xfId="0" builtinId="0" hidden="0"/>
  </cellStyles>
  <dxfs count="3">
    <dxf>
      <font>
        <b val="1"/>
        <color rgb="00059669"/>
      </font>
      <fill>
        <patternFill patternType="solid">
          <fgColor rgb="00D1FAE5"/>
          <bgColor rgb="00D1FAE5"/>
        </patternFill>
      </fill>
    </dxf>
    <dxf>
      <font>
        <b val="1"/>
        <color rgb="00D97706"/>
      </font>
      <fill>
        <patternFill patternType="solid">
          <fgColor rgb="00FEF3C7"/>
          <bgColor rgb="00FEF3C7"/>
        </patternFill>
      </fill>
    </dxf>
    <dxf>
      <font>
        <b val="1"/>
        <color rgb="00DC2626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Item_ID</t>
        </is>
      </c>
      <c r="B1" s="2" t="inlineStr">
        <is>
          <t>WBS_Code</t>
        </is>
      </c>
      <c r="C1" s="1" t="inlineStr">
        <is>
          <t>Task_Name</t>
        </is>
      </c>
      <c r="D1" s="1" t="inlineStr">
        <is>
          <t>TBC</t>
        </is>
      </c>
      <c r="E1" s="2" t="inlineStr">
        <is>
          <t>Month_1</t>
        </is>
      </c>
      <c r="F1" s="2" t="inlineStr">
        <is>
          <t>Month_2</t>
        </is>
      </c>
      <c r="G1" s="2" t="inlineStr">
        <is>
          <t>Month_3</t>
        </is>
      </c>
      <c r="H1" s="2" t="inlineStr">
        <is>
          <t>Month_4</t>
        </is>
      </c>
      <c r="I1" s="2" t="inlineStr">
        <is>
          <t>Month_5</t>
        </is>
      </c>
      <c r="J1" s="2" t="inlineStr">
        <is>
          <t>Month_6</t>
        </is>
      </c>
    </row>
    <row r="2">
      <c r="A2" s="3" t="inlineStr">
        <is>
          <t>T101</t>
        </is>
      </c>
      <c r="B2" s="3" t="inlineStr">
        <is>
          <t>1.1.1</t>
        </is>
      </c>
      <c r="C2" s="4" t="inlineStr">
        <is>
          <t>Systems Engineering</t>
        </is>
      </c>
      <c r="D2" s="19" t="n">
        <v>120000</v>
      </c>
      <c r="E2" s="19" t="n">
        <v>40000</v>
      </c>
      <c r="F2" s="19" t="n">
        <v>50000</v>
      </c>
      <c r="G2" s="19" t="n">
        <v>30000</v>
      </c>
      <c r="H2" s="19" t="n">
        <v>0</v>
      </c>
      <c r="I2" s="19" t="n">
        <v>0</v>
      </c>
      <c r="J2" s="19" t="n">
        <v>0</v>
      </c>
    </row>
    <row r="3">
      <c r="A3" s="3" t="inlineStr">
        <is>
          <t>T102</t>
        </is>
      </c>
      <c r="B3" s="3" t="inlineStr">
        <is>
          <t>1.1.2</t>
        </is>
      </c>
      <c r="C3" s="4" t="inlineStr">
        <is>
          <t>Procurement</t>
        </is>
      </c>
      <c r="D3" s="19" t="n">
        <v>300000</v>
      </c>
      <c r="E3" s="19" t="n">
        <v>100000</v>
      </c>
      <c r="F3" s="19" t="n">
        <v>150000</v>
      </c>
      <c r="G3" s="19" t="n">
        <v>50000</v>
      </c>
      <c r="H3" s="19" t="n">
        <v>0</v>
      </c>
      <c r="I3" s="19" t="n">
        <v>0</v>
      </c>
      <c r="J3" s="19" t="n">
        <v>0</v>
      </c>
    </row>
    <row r="4">
      <c r="A4" s="3" t="inlineStr">
        <is>
          <t>T103</t>
        </is>
      </c>
      <c r="B4" s="3" t="inlineStr">
        <is>
          <t>1.2.1</t>
        </is>
      </c>
      <c r="C4" s="4" t="inlineStr">
        <is>
          <t>Site Excavation</t>
        </is>
      </c>
      <c r="D4" s="19" t="n">
        <v>180000</v>
      </c>
      <c r="E4" s="19" t="n">
        <v>0</v>
      </c>
      <c r="F4" s="19" t="n">
        <v>20000</v>
      </c>
      <c r="G4" s="19" t="n">
        <v>80000</v>
      </c>
      <c r="H4" s="19" t="n">
        <v>60000</v>
      </c>
      <c r="I4" s="19" t="n">
        <v>20000</v>
      </c>
      <c r="J4" s="19" t="n">
        <v>0</v>
      </c>
    </row>
    <row r="5">
      <c r="A5" s="3" t="inlineStr">
        <is>
          <t>T104</t>
        </is>
      </c>
      <c r="B5" s="3" t="inlineStr">
        <is>
          <t>1.2.2</t>
        </is>
      </c>
      <c r="C5" s="4" t="inlineStr">
        <is>
          <t>Foundation Concrete</t>
        </is>
      </c>
      <c r="D5" s="19" t="n">
        <v>240000</v>
      </c>
      <c r="E5" s="19" t="n">
        <v>0</v>
      </c>
      <c r="F5" s="19" t="n">
        <v>0</v>
      </c>
      <c r="G5" s="19" t="n">
        <v>40000</v>
      </c>
      <c r="H5" s="19" t="n">
        <v>120000</v>
      </c>
      <c r="I5" s="19" t="n">
        <v>80000</v>
      </c>
      <c r="J5" s="19" t="n">
        <v>0</v>
      </c>
    </row>
    <row r="6">
      <c r="A6" s="3" t="inlineStr">
        <is>
          <t>T105</t>
        </is>
      </c>
      <c r="B6" s="3" t="inlineStr">
        <is>
          <t>1.3.1</t>
        </is>
      </c>
      <c r="C6" s="4" t="inlineStr">
        <is>
          <t>Structural Assembly</t>
        </is>
      </c>
      <c r="D6" s="19" t="n">
        <v>360000</v>
      </c>
      <c r="E6" s="19" t="n">
        <v>0</v>
      </c>
      <c r="F6" s="19" t="n">
        <v>0</v>
      </c>
      <c r="G6" s="19" t="n">
        <v>0</v>
      </c>
      <c r="H6" s="19" t="n">
        <v>60000</v>
      </c>
      <c r="I6" s="19" t="n">
        <v>200000</v>
      </c>
      <c r="J6" s="19" t="n">
        <v>100000</v>
      </c>
    </row>
    <row r="7">
      <c r="A7" s="6" t="inlineStr">
        <is>
          <t>Total</t>
        </is>
      </c>
      <c r="B7" s="6" t="inlineStr"/>
      <c r="C7" s="7" t="inlineStr">
        <is>
          <t>Total Baseline Budget</t>
        </is>
      </c>
      <c r="D7" s="20">
        <f>SUM(D2:D6)</f>
        <v/>
      </c>
      <c r="E7" s="20">
        <f>SUM(E2:E6)</f>
        <v/>
      </c>
      <c r="F7" s="20">
        <f>SUM(F2:F6)</f>
        <v/>
      </c>
      <c r="G7" s="20">
        <f>SUM(G2:G6)</f>
        <v/>
      </c>
      <c r="H7" s="20">
        <f>SUM(H2:H6)</f>
        <v/>
      </c>
      <c r="I7" s="20">
        <f>SUM(I2:I6)</f>
        <v/>
      </c>
      <c r="J7" s="20">
        <f>SUM(J2:J6)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3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Item_ID</t>
        </is>
      </c>
      <c r="B1" s="2" t="inlineStr">
        <is>
          <t>WBS_Code</t>
        </is>
      </c>
      <c r="C1" s="1" t="inlineStr">
        <is>
          <t>Task_Name</t>
        </is>
      </c>
      <c r="D1" s="1" t="inlineStr">
        <is>
          <t>TBC</t>
        </is>
      </c>
      <c r="E1" s="2" t="inlineStr">
        <is>
          <t>Month_1_%</t>
        </is>
      </c>
      <c r="F1" s="2" t="inlineStr">
        <is>
          <t>Month_2_%</t>
        </is>
      </c>
      <c r="G1" s="2" t="inlineStr">
        <is>
          <t>Month_3_%</t>
        </is>
      </c>
      <c r="H1" s="2" t="inlineStr">
        <is>
          <t>Month_4_%</t>
        </is>
      </c>
      <c r="I1" s="2" t="inlineStr">
        <is>
          <t>Month_5_%</t>
        </is>
      </c>
      <c r="J1" s="2" t="inlineStr">
        <is>
          <t>Month_6_%</t>
        </is>
      </c>
    </row>
    <row r="2">
      <c r="A2" s="3" t="inlineStr">
        <is>
          <t>T101</t>
        </is>
      </c>
      <c r="B2" s="3" t="inlineStr">
        <is>
          <t>1.1.1</t>
        </is>
      </c>
      <c r="C2" s="4" t="inlineStr">
        <is>
          <t>Systems Engineering</t>
        </is>
      </c>
      <c r="D2" s="19" t="n">
        <v>120000</v>
      </c>
      <c r="E2" s="21" t="n">
        <v>0.3333</v>
      </c>
      <c r="F2" s="21" t="n">
        <v>0.75</v>
      </c>
      <c r="G2" s="21" t="n">
        <v>1</v>
      </c>
      <c r="H2" s="21" t="n">
        <v>1</v>
      </c>
      <c r="I2" s="21" t="n">
        <v>1</v>
      </c>
      <c r="J2" s="21" t="n">
        <v>1</v>
      </c>
    </row>
    <row r="3">
      <c r="A3" s="3" t="inlineStr">
        <is>
          <t>T102</t>
        </is>
      </c>
      <c r="B3" s="3" t="inlineStr">
        <is>
          <t>1.1.2</t>
        </is>
      </c>
      <c r="C3" s="4" t="inlineStr">
        <is>
          <t>Procurement</t>
        </is>
      </c>
      <c r="D3" s="19" t="n">
        <v>300000</v>
      </c>
      <c r="E3" s="21" t="n">
        <v>0.1</v>
      </c>
      <c r="F3" s="21" t="n">
        <v>0.5</v>
      </c>
      <c r="G3" s="21" t="n">
        <v>0.8</v>
      </c>
      <c r="H3" s="21" t="n">
        <v>0.8</v>
      </c>
      <c r="I3" s="21" t="n">
        <v>0.9</v>
      </c>
      <c r="J3" s="21" t="n">
        <v>1</v>
      </c>
    </row>
    <row r="4">
      <c r="A4" s="3" t="inlineStr">
        <is>
          <t>T103</t>
        </is>
      </c>
      <c r="B4" s="3" t="inlineStr">
        <is>
          <t>1.2.1</t>
        </is>
      </c>
      <c r="C4" s="4" t="inlineStr">
        <is>
          <t>Site Excavation</t>
        </is>
      </c>
      <c r="D4" s="19" t="n">
        <v>180000</v>
      </c>
      <c r="E4" s="21" t="n">
        <v>0</v>
      </c>
      <c r="F4" s="21" t="n">
        <v>0.1111</v>
      </c>
      <c r="G4" s="21" t="n">
        <v>0.5556</v>
      </c>
      <c r="H4" s="21" t="n">
        <v>0.8889</v>
      </c>
      <c r="I4" s="21" t="n">
        <v>1</v>
      </c>
      <c r="J4" s="21" t="n">
        <v>1</v>
      </c>
    </row>
    <row r="5">
      <c r="A5" s="3" t="inlineStr">
        <is>
          <t>T104</t>
        </is>
      </c>
      <c r="B5" s="3" t="inlineStr">
        <is>
          <t>1.2.2</t>
        </is>
      </c>
      <c r="C5" s="4" t="inlineStr">
        <is>
          <t>Foundation Concrete</t>
        </is>
      </c>
      <c r="D5" s="19" t="n">
        <v>240000</v>
      </c>
      <c r="E5" s="21" t="n">
        <v>0</v>
      </c>
      <c r="F5" s="21" t="n">
        <v>0</v>
      </c>
      <c r="G5" s="21" t="n">
        <v>0.1</v>
      </c>
      <c r="H5" s="21" t="n">
        <v>0.4</v>
      </c>
      <c r="I5" s="21" t="n">
        <v>0.8</v>
      </c>
      <c r="J5" s="21" t="n">
        <v>1</v>
      </c>
    </row>
    <row r="6">
      <c r="A6" s="3" t="inlineStr">
        <is>
          <t>T105</t>
        </is>
      </c>
      <c r="B6" s="3" t="inlineStr">
        <is>
          <t>1.3.1</t>
        </is>
      </c>
      <c r="C6" s="4" t="inlineStr">
        <is>
          <t>Structural Assembly</t>
        </is>
      </c>
      <c r="D6" s="19" t="n">
        <v>360000</v>
      </c>
      <c r="E6" s="21" t="n">
        <v>0</v>
      </c>
      <c r="F6" s="21" t="n">
        <v>0</v>
      </c>
      <c r="G6" s="21" t="n">
        <v>0</v>
      </c>
      <c r="H6" s="21" t="n">
        <v>0.15</v>
      </c>
      <c r="I6" s="21" t="n">
        <v>0.6</v>
      </c>
      <c r="J6" s="21" t="n">
        <v>0.9</v>
      </c>
    </row>
  </sheetData>
  <conditionalFormatting sqref="E2:J6">
    <cfRule type="cellIs" priority="1" operator="equal" dxfId="0">
      <formula>1.0</formula>
    </cfRule>
    <cfRule type="cellIs" priority="2" operator="between" dxfId="1">
      <formula>0.8</formula>
      <formula>0.999</formula>
    </cfRule>
    <cfRule type="cellIs" priority="3" operator="lessThan" dxfId="2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3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Item_ID</t>
        </is>
      </c>
      <c r="B1" s="2" t="inlineStr">
        <is>
          <t>WBS_Code</t>
        </is>
      </c>
      <c r="C1" s="1" t="inlineStr">
        <is>
          <t>Task_Name</t>
        </is>
      </c>
      <c r="D1" s="1" t="inlineStr">
        <is>
          <t>TBC</t>
        </is>
      </c>
      <c r="E1" s="2" t="inlineStr">
        <is>
          <t>Month_1_AC</t>
        </is>
      </c>
      <c r="F1" s="2" t="inlineStr">
        <is>
          <t>Month_2_AC</t>
        </is>
      </c>
      <c r="G1" s="2" t="inlineStr">
        <is>
          <t>Month_3_AC</t>
        </is>
      </c>
      <c r="H1" s="2" t="inlineStr">
        <is>
          <t>Month_4_AC</t>
        </is>
      </c>
      <c r="I1" s="2" t="inlineStr">
        <is>
          <t>Month_5_AC</t>
        </is>
      </c>
      <c r="J1" s="2" t="inlineStr">
        <is>
          <t>Month_6_AC</t>
        </is>
      </c>
    </row>
    <row r="2">
      <c r="A2" s="3" t="inlineStr">
        <is>
          <t>T101</t>
        </is>
      </c>
      <c r="B2" s="3" t="inlineStr">
        <is>
          <t>1.1.1</t>
        </is>
      </c>
      <c r="C2" s="4" t="inlineStr">
        <is>
          <t>Systems Engineering</t>
        </is>
      </c>
      <c r="D2" s="19" t="n">
        <v>120000</v>
      </c>
      <c r="E2" s="19" t="n">
        <v>42000</v>
      </c>
      <c r="F2" s="19" t="n">
        <v>51000</v>
      </c>
      <c r="G2" s="19" t="n">
        <v>32000</v>
      </c>
      <c r="H2" s="19" t="n">
        <v>0</v>
      </c>
      <c r="I2" s="19" t="n">
        <v>0</v>
      </c>
      <c r="J2" s="19" t="n">
        <v>0</v>
      </c>
    </row>
    <row r="3">
      <c r="A3" s="3" t="inlineStr">
        <is>
          <t>T102</t>
        </is>
      </c>
      <c r="B3" s="3" t="inlineStr">
        <is>
          <t>1.1.2</t>
        </is>
      </c>
      <c r="C3" s="4" t="inlineStr">
        <is>
          <t>Procurement</t>
        </is>
      </c>
      <c r="D3" s="19" t="n">
        <v>300000</v>
      </c>
      <c r="E3" s="19" t="n">
        <v>95000</v>
      </c>
      <c r="F3" s="19" t="n">
        <v>160000</v>
      </c>
      <c r="G3" s="19" t="n">
        <v>55000</v>
      </c>
      <c r="H3" s="19" t="n">
        <v>5000</v>
      </c>
      <c r="I3" s="19" t="n">
        <v>12000</v>
      </c>
      <c r="J3" s="19" t="n">
        <v>28000</v>
      </c>
    </row>
    <row r="4">
      <c r="A4" s="3" t="inlineStr">
        <is>
          <t>T103</t>
        </is>
      </c>
      <c r="B4" s="3" t="inlineStr">
        <is>
          <t>1.2.1</t>
        </is>
      </c>
      <c r="C4" s="4" t="inlineStr">
        <is>
          <t>Site Excavation</t>
        </is>
      </c>
      <c r="D4" s="19" t="n">
        <v>180000</v>
      </c>
      <c r="E4" s="19" t="n">
        <v>0</v>
      </c>
      <c r="F4" s="19" t="n">
        <v>22000</v>
      </c>
      <c r="G4" s="19" t="n">
        <v>85000</v>
      </c>
      <c r="H4" s="19" t="n">
        <v>45000</v>
      </c>
      <c r="I4" s="19" t="n">
        <v>21000</v>
      </c>
      <c r="J4" s="19" t="n">
        <v>0</v>
      </c>
    </row>
    <row r="5">
      <c r="A5" s="3" t="inlineStr">
        <is>
          <t>T104</t>
        </is>
      </c>
      <c r="B5" s="3" t="inlineStr">
        <is>
          <t>1.2.2</t>
        </is>
      </c>
      <c r="C5" s="4" t="inlineStr">
        <is>
          <t>Foundation Concrete</t>
        </is>
      </c>
      <c r="D5" s="19" t="n">
        <v>240000</v>
      </c>
      <c r="E5" s="19" t="n">
        <v>0</v>
      </c>
      <c r="F5" s="19" t="n">
        <v>0</v>
      </c>
      <c r="G5" s="19" t="n">
        <v>38000</v>
      </c>
      <c r="H5" s="19" t="n">
        <v>92000</v>
      </c>
      <c r="I5" s="19" t="n">
        <v>84000</v>
      </c>
      <c r="J5" s="19" t="n">
        <v>41000</v>
      </c>
    </row>
    <row r="6">
      <c r="A6" s="3" t="inlineStr">
        <is>
          <t>T105</t>
        </is>
      </c>
      <c r="B6" s="3" t="inlineStr">
        <is>
          <t>1.3.1</t>
        </is>
      </c>
      <c r="C6" s="4" t="inlineStr">
        <is>
          <t>Structural Assembly</t>
        </is>
      </c>
      <c r="D6" s="19" t="n">
        <v>360000</v>
      </c>
      <c r="E6" s="19" t="n">
        <v>0</v>
      </c>
      <c r="F6" s="19" t="n">
        <v>0</v>
      </c>
      <c r="G6" s="19" t="n">
        <v>0</v>
      </c>
      <c r="H6" s="19" t="n">
        <v>55000</v>
      </c>
      <c r="I6" s="19" t="n">
        <v>185000</v>
      </c>
      <c r="J6" s="19" t="n">
        <v>96000</v>
      </c>
    </row>
    <row r="7">
      <c r="A7" s="6" t="inlineStr">
        <is>
          <t>Total</t>
        </is>
      </c>
      <c r="B7" s="6" t="inlineStr"/>
      <c r="C7" s="7" t="inlineStr">
        <is>
          <t>Total Actual Costs</t>
        </is>
      </c>
      <c r="D7" s="20">
        <f>SUM(D2:D6)</f>
        <v/>
      </c>
      <c r="E7" s="20">
        <f>SUM(E2:E6)</f>
        <v/>
      </c>
      <c r="F7" s="20">
        <f>SUM(F2:F6)</f>
        <v/>
      </c>
      <c r="G7" s="20">
        <f>SUM(G2:G6)</f>
        <v/>
      </c>
      <c r="H7" s="20">
        <f>SUM(H2:H6)</f>
        <v/>
      </c>
      <c r="I7" s="20">
        <f>SUM(I2:I6)</f>
        <v/>
      </c>
      <c r="J7" s="20">
        <f>SUM(J2:J6)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9" customWidth="1" min="4" max="4"/>
    <col width="23" customWidth="1" min="5" max="5"/>
    <col width="15" customWidth="1" min="6" max="6"/>
    <col width="12" customWidth="1" min="7" max="7"/>
  </cols>
  <sheetData>
    <row r="1">
      <c r="A1" s="1" t="inlineStr">
        <is>
          <t>Task_ID</t>
        </is>
      </c>
      <c r="B1" s="2" t="inlineStr">
        <is>
          <t>WBS_Code</t>
        </is>
      </c>
      <c r="C1" s="1" t="inlineStr">
        <is>
          <t>WBS_Level_1</t>
        </is>
      </c>
      <c r="D1" s="1" t="inlineStr">
        <is>
          <t>WBS_Level_2</t>
        </is>
      </c>
      <c r="E1" s="1" t="inlineStr">
        <is>
          <t>Task_Name</t>
        </is>
      </c>
      <c r="F1" s="1" t="inlineStr">
        <is>
          <t>CAM</t>
        </is>
      </c>
      <c r="G1" s="1" t="inlineStr">
        <is>
          <t>TBC</t>
        </is>
      </c>
    </row>
    <row r="2">
      <c r="A2" s="3" t="inlineStr">
        <is>
          <t>T101</t>
        </is>
      </c>
      <c r="B2" s="3" t="inlineStr">
        <is>
          <t>1.1.1</t>
        </is>
      </c>
      <c r="C2" s="4" t="inlineStr">
        <is>
          <t>1.0 Engineering</t>
        </is>
      </c>
      <c r="D2" s="4" t="inlineStr">
        <is>
          <t>1.1 Systems</t>
        </is>
      </c>
      <c r="E2" s="4" t="inlineStr">
        <is>
          <t>Systems Engineering</t>
        </is>
      </c>
      <c r="F2" s="4" t="inlineStr">
        <is>
          <t>L. Hansen</t>
        </is>
      </c>
      <c r="G2" s="19" t="n">
        <v>120000</v>
      </c>
    </row>
    <row r="3">
      <c r="A3" s="3" t="inlineStr">
        <is>
          <t>T102</t>
        </is>
      </c>
      <c r="B3" s="3" t="inlineStr">
        <is>
          <t>1.1.2</t>
        </is>
      </c>
      <c r="C3" s="4" t="inlineStr">
        <is>
          <t>1.0 Engineering</t>
        </is>
      </c>
      <c r="D3" s="4" t="inlineStr">
        <is>
          <t>1.1 Systems</t>
        </is>
      </c>
      <c r="E3" s="4" t="inlineStr">
        <is>
          <t>Procurement</t>
        </is>
      </c>
      <c r="F3" s="4" t="inlineStr">
        <is>
          <t>A. Olsen</t>
        </is>
      </c>
      <c r="G3" s="19" t="n">
        <v>300000</v>
      </c>
    </row>
    <row r="4">
      <c r="A4" s="3" t="inlineStr">
        <is>
          <t>T103</t>
        </is>
      </c>
      <c r="B4" s="3" t="inlineStr">
        <is>
          <t>1.2.1</t>
        </is>
      </c>
      <c r="C4" s="4" t="inlineStr">
        <is>
          <t>1.0 Construction</t>
        </is>
      </c>
      <c r="D4" s="4" t="inlineStr">
        <is>
          <t>1.2 Civil Works</t>
        </is>
      </c>
      <c r="E4" s="4" t="inlineStr">
        <is>
          <t>Site Excavation</t>
        </is>
      </c>
      <c r="F4" s="4" t="inlineStr">
        <is>
          <t>E. Johansen</t>
        </is>
      </c>
      <c r="G4" s="19" t="n">
        <v>180000</v>
      </c>
    </row>
    <row r="5">
      <c r="A5" s="3" t="inlineStr">
        <is>
          <t>T104</t>
        </is>
      </c>
      <c r="B5" s="3" t="inlineStr">
        <is>
          <t>1.2.2</t>
        </is>
      </c>
      <c r="C5" s="4" t="inlineStr">
        <is>
          <t>1.0 Construction</t>
        </is>
      </c>
      <c r="D5" s="4" t="inlineStr">
        <is>
          <t>1.2 Civil Works</t>
        </is>
      </c>
      <c r="E5" s="4" t="inlineStr">
        <is>
          <t>Foundation Concrete</t>
        </is>
      </c>
      <c r="F5" s="4" t="inlineStr">
        <is>
          <t>E. Johansen</t>
        </is>
      </c>
      <c r="G5" s="19" t="n">
        <v>240000</v>
      </c>
    </row>
    <row r="6">
      <c r="A6" s="3" t="inlineStr">
        <is>
          <t>T105</t>
        </is>
      </c>
      <c r="B6" s="3" t="inlineStr">
        <is>
          <t>1.3.1</t>
        </is>
      </c>
      <c r="C6" s="4" t="inlineStr">
        <is>
          <t>1.0 Construction</t>
        </is>
      </c>
      <c r="D6" s="4" t="inlineStr">
        <is>
          <t>1.3 Structural</t>
        </is>
      </c>
      <c r="E6" s="4" t="inlineStr">
        <is>
          <t>Structural Assembly</t>
        </is>
      </c>
      <c r="F6" s="4" t="inlineStr">
        <is>
          <t>K. Andersen</t>
        </is>
      </c>
      <c r="G6" s="19" t="n">
        <v>360000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Liam Bastick Parametric S-Curve Model</t>
        </is>
      </c>
    </row>
    <row r="3">
      <c r="A3" s="11" t="inlineStr">
        <is>
          <t>Parameter Name</t>
        </is>
      </c>
      <c r="B3" s="11" t="inlineStr">
        <is>
          <t>Value</t>
        </is>
      </c>
    </row>
    <row r="4">
      <c r="A4" s="12" t="inlineStr">
        <is>
          <t>Initial_Percentage_Completed</t>
        </is>
      </c>
      <c r="B4" s="22" t="n">
        <v>0</v>
      </c>
    </row>
    <row r="5">
      <c r="A5" s="12" t="inlineStr">
        <is>
          <t>Target_Percentage</t>
        </is>
      </c>
      <c r="B5" s="23" t="n">
        <v>1</v>
      </c>
    </row>
    <row r="6">
      <c r="A6" s="12" t="inlineStr">
        <is>
          <t>Exp_Factor</t>
        </is>
      </c>
      <c r="B6" s="15" t="n">
        <v>2.5</v>
      </c>
    </row>
    <row r="7">
      <c r="A7" s="12" t="inlineStr">
        <is>
          <t>Exp_Growth_Start_Month_No</t>
        </is>
      </c>
      <c r="B7" s="16" t="n">
        <v>1</v>
      </c>
    </row>
    <row r="8">
      <c r="A8" s="12" t="inlineStr">
        <is>
          <t>Exp_Duration_in_Months</t>
        </is>
      </c>
      <c r="B8" s="16" t="n">
        <v>6</v>
      </c>
    </row>
    <row r="9">
      <c r="A9" s="12" t="inlineStr">
        <is>
          <t>Total_Budget_Cost (BAC)</t>
        </is>
      </c>
      <c r="B9" s="24" t="n">
        <v>1200000</v>
      </c>
    </row>
    <row r="12">
      <c r="A12" s="11" t="inlineStr">
        <is>
          <t>Metric / Month</t>
        </is>
      </c>
      <c r="B12" s="11" t="inlineStr">
        <is>
          <t>Month 1</t>
        </is>
      </c>
      <c r="C12" s="11" t="inlineStr">
        <is>
          <t>Month 2</t>
        </is>
      </c>
      <c r="D12" s="11" t="inlineStr">
        <is>
          <t>Month 3</t>
        </is>
      </c>
      <c r="E12" s="11" t="inlineStr">
        <is>
          <t>Month 4</t>
        </is>
      </c>
      <c r="F12" s="11" t="inlineStr">
        <is>
          <t>Month 5</t>
        </is>
      </c>
      <c r="G12" s="11" t="inlineStr">
        <is>
          <t>Month 6</t>
        </is>
      </c>
    </row>
    <row r="13">
      <c r="A13" s="12" t="inlineStr">
        <is>
          <t>Month Index (t)</t>
        </is>
      </c>
      <c r="B13" s="18" t="n">
        <v>1</v>
      </c>
      <c r="C13" s="18" t="n">
        <v>2</v>
      </c>
      <c r="D13" s="18" t="n">
        <v>3</v>
      </c>
      <c r="E13" s="18" t="n">
        <v>4</v>
      </c>
      <c r="F13" s="18" t="n">
        <v>5</v>
      </c>
      <c r="G13" s="18" t="n">
        <v>6</v>
      </c>
    </row>
    <row r="14">
      <c r="A14" s="12" t="inlineStr">
        <is>
          <t>Cumulative % Complete (S-Curve)</t>
        </is>
      </c>
      <c r="B14" s="22">
        <f> $B$4 + ($B$5 - $B$4) / (1 + $B$6^(($B$7 + $B$8/2 - B13) / $B$8))</f>
        <v/>
      </c>
      <c r="C14" s="22">
        <f> $B$4 + ($B$5 - $B$4) / (1 + $B$6^(($B$7 + $B$8/2 - C13) / $B$8))</f>
        <v/>
      </c>
      <c r="D14" s="22">
        <f> $B$4 + ($B$5 - $B$4) / (1 + $B$6^(($B$7 + $B$8/2 - D13) / $B$8))</f>
        <v/>
      </c>
      <c r="E14" s="22">
        <f> $B$4 + ($B$5 - $B$4) / (1 + $B$6^(($B$7 + $B$8/2 - E13) / $B$8))</f>
        <v/>
      </c>
      <c r="F14" s="22">
        <f> $B$4 + ($B$5 - $B$4) / (1 + $B$6^(($B$7 + $B$8/2 - F13) / $B$8))</f>
        <v/>
      </c>
      <c r="G14" s="22">
        <f> $B$4 + ($B$5 - $B$4) / (1 + $B$6^(($B$7 + $B$8/2 - G13) / $B$8))</f>
        <v/>
      </c>
    </row>
    <row r="15">
      <c r="A15" s="12" t="inlineStr">
        <is>
          <t>Cumulative Planned Value ($)</t>
        </is>
      </c>
      <c r="B15" s="24">
        <f> B14 * $B$9</f>
        <v/>
      </c>
      <c r="C15" s="24">
        <f> C14 * $B$9</f>
        <v/>
      </c>
      <c r="D15" s="24">
        <f> D14 * $B$9</f>
        <v/>
      </c>
      <c r="E15" s="24">
        <f> E14 * $B$9</f>
        <v/>
      </c>
      <c r="F15" s="24">
        <f> F14 * $B$9</f>
        <v/>
      </c>
      <c r="G15" s="24">
        <f> G14 * $B$9</f>
        <v/>
      </c>
    </row>
    <row r="16">
      <c r="A16" s="12" t="inlineStr">
        <is>
          <t>Incremental Planned Value ($)</t>
        </is>
      </c>
      <c r="B16" s="24">
        <f> B15</f>
        <v/>
      </c>
      <c r="C16" s="24">
        <f> C15 - B15</f>
        <v/>
      </c>
      <c r="D16" s="24">
        <f> D15 - C15</f>
        <v/>
      </c>
      <c r="E16" s="24">
        <f> E15 - D15</f>
        <v/>
      </c>
      <c r="F16" s="24">
        <f> F15 - E15</f>
        <v/>
      </c>
      <c r="G16" s="24">
        <f> G15 - F15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73" customWidth="1" min="1" max="1"/>
    <col width="36" customWidth="1" min="2" max="2"/>
    <col width="15" customWidth="1" min="3" max="3"/>
    <col width="17" customWidth="1" min="4" max="4"/>
    <col width="19" customWidth="1" min="5" max="5"/>
    <col width="12" customWidth="1" min="6" max="6"/>
    <col width="12" customWidth="1" min="7" max="7"/>
  </cols>
  <sheetData>
    <row r="1">
      <c r="A1" s="25" t="inlineStr">
        <is>
          <t>KEY MILESTONES</t>
        </is>
      </c>
    </row>
    <row r="2">
      <c r="A2" s="26" t="inlineStr">
        <is>
          <t>Offshore EPC Platform Drill Tower Project — Status Date: Aug 31, 2026</t>
        </is>
      </c>
    </row>
    <row r="3"/>
    <row r="4">
      <c r="A4" s="27" t="inlineStr">
        <is>
          <t>Milestone_ID</t>
        </is>
      </c>
      <c r="B4" s="27" t="inlineStr">
        <is>
          <t>Milestone_Name</t>
        </is>
      </c>
      <c r="C4" s="27" t="inlineStr">
        <is>
          <t>Target_Date</t>
        </is>
      </c>
      <c r="D4" s="27" t="inlineStr">
        <is>
          <t>Baseline_Date</t>
        </is>
      </c>
      <c r="E4" s="27" t="inlineStr">
        <is>
          <t>Status</t>
        </is>
      </c>
      <c r="F4" s="27" t="inlineStr">
        <is>
          <t>RAG</t>
        </is>
      </c>
      <c r="G4" s="27" t="inlineStr">
        <is>
          <t>WBS_Code</t>
        </is>
      </c>
    </row>
    <row r="5">
      <c r="A5" s="28" t="inlineStr">
        <is>
          <t>M1</t>
        </is>
      </c>
      <c r="B5" s="28" t="inlineStr">
        <is>
          <t>Engineering AFC Gate Review</t>
        </is>
      </c>
      <c r="C5" s="28" t="inlineStr">
        <is>
          <t>2026-03-15</t>
        </is>
      </c>
      <c r="D5" s="28" t="inlineStr">
        <is>
          <t>2026-03-15</t>
        </is>
      </c>
      <c r="E5" s="28" t="inlineStr">
        <is>
          <t>Achieved</t>
        </is>
      </c>
      <c r="F5" s="28" t="inlineStr">
        <is>
          <t>Green</t>
        </is>
      </c>
      <c r="G5" s="28" t="inlineStr">
        <is>
          <t>1.1</t>
        </is>
      </c>
    </row>
    <row r="6">
      <c r="A6" s="28" t="inlineStr">
        <is>
          <t>M2</t>
        </is>
      </c>
      <c r="B6" s="28" t="inlineStr">
        <is>
          <t>Tubular Steel Material Delivery</t>
        </is>
      </c>
      <c r="C6" s="28" t="inlineStr">
        <is>
          <t>2026-05-31</t>
        </is>
      </c>
      <c r="D6" s="28" t="inlineStr">
        <is>
          <t>2026-05-31</t>
        </is>
      </c>
      <c r="E6" s="28" t="inlineStr">
        <is>
          <t>Achieved</t>
        </is>
      </c>
      <c r="F6" s="28" t="inlineStr">
        <is>
          <t>Green</t>
        </is>
      </c>
      <c r="G6" s="28" t="inlineStr">
        <is>
          <t>1.2</t>
        </is>
      </c>
    </row>
    <row r="7">
      <c r="A7" s="28" t="inlineStr">
        <is>
          <t>M3</t>
        </is>
      </c>
      <c r="B7" s="28" t="inlineStr">
        <is>
          <t>Verdal Sub-Structure Handover</t>
        </is>
      </c>
      <c r="C7" s="28" t="inlineStr">
        <is>
          <t>2026-08-31</t>
        </is>
      </c>
      <c r="D7" s="28" t="inlineStr">
        <is>
          <t>2026-08-31</t>
        </is>
      </c>
      <c r="E7" s="28" t="inlineStr">
        <is>
          <t>Active</t>
        </is>
      </c>
      <c r="F7" s="28" t="inlineStr">
        <is>
          <t>Green</t>
        </is>
      </c>
      <c r="G7" s="28" t="inlineStr">
        <is>
          <t>1.3.1</t>
        </is>
      </c>
    </row>
    <row r="8">
      <c r="A8" s="28" t="inlineStr">
        <is>
          <t>M4</t>
        </is>
      </c>
      <c r="B8" s="28" t="inlineStr">
        <is>
          <t>Derrick Mast Ready for Lift</t>
        </is>
      </c>
      <c r="C8" s="28" t="inlineStr">
        <is>
          <t>2026-09-30</t>
        </is>
      </c>
      <c r="D8" s="28" t="inlineStr">
        <is>
          <t>2026-08-31</t>
        </is>
      </c>
      <c r="E8" s="28" t="inlineStr">
        <is>
          <t>Critical Rework</t>
        </is>
      </c>
      <c r="F8" s="28" t="inlineStr">
        <is>
          <t>Red</t>
        </is>
      </c>
      <c r="G8" s="28" t="inlineStr">
        <is>
          <t>1.3.2</t>
        </is>
      </c>
    </row>
    <row r="9">
      <c r="A9" s="28" t="inlineStr">
        <is>
          <t>M5</t>
        </is>
      </c>
      <c r="B9" s="28" t="inlineStr">
        <is>
          <t>Offshore Topside Mating Complete</t>
        </is>
      </c>
      <c r="C9" s="28" t="inlineStr">
        <is>
          <t>2026-11-15</t>
        </is>
      </c>
      <c r="D9" s="28" t="inlineStr">
        <is>
          <t>2026-10-31</t>
        </is>
      </c>
      <c r="E9" s="28" t="inlineStr">
        <is>
          <t>Critical Delay</t>
        </is>
      </c>
      <c r="F9" s="28" t="inlineStr">
        <is>
          <t>Red</t>
        </is>
      </c>
      <c r="G9" s="28" t="inlineStr">
        <is>
          <t>1.4.2</t>
        </is>
      </c>
    </row>
    <row r="10">
      <c r="A10" s="28" t="inlineStr">
        <is>
          <t>M6</t>
        </is>
      </c>
      <c r="B10" s="28" t="inlineStr">
        <is>
          <t>Final Commercial COD Handover</t>
        </is>
      </c>
      <c r="C10" s="28" t="inlineStr">
        <is>
          <t>2027-01-31</t>
        </is>
      </c>
      <c r="D10" s="28" t="inlineStr">
        <is>
          <t>2026-12-31</t>
        </is>
      </c>
      <c r="E10" s="28" t="inlineStr">
        <is>
          <t>Forecast COD</t>
        </is>
      </c>
      <c r="F10" s="28" t="inlineStr">
        <is>
          <t>Red</t>
        </is>
      </c>
      <c r="G10" s="28" t="inlineStr">
        <is>
          <t>1.5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73" customWidth="1" min="1" max="1"/>
    <col width="50" customWidth="1" min="2" max="2"/>
    <col width="17" customWidth="1" min="3" max="3"/>
    <col width="15" customWidth="1" min="4" max="4"/>
    <col width="12" customWidth="1" min="5" max="5"/>
    <col width="14" customWidth="1" min="6" max="6"/>
    <col width="13" customWidth="1" min="7" max="7"/>
    <col width="22" customWidth="1" min="8" max="8"/>
    <col width="27" customWidth="1" min="9" max="9"/>
    <col width="75" customWidth="1" min="10" max="10"/>
    <col width="16" customWidth="1" min="11" max="11"/>
  </cols>
  <sheetData>
    <row r="1">
      <c r="A1" s="25" t="inlineStr">
        <is>
          <t>RISK REGISTER</t>
        </is>
      </c>
    </row>
    <row r="2">
      <c r="A2" s="26" t="inlineStr">
        <is>
          <t>Offshore EPC Platform Drill Tower Project — Status Date: Aug 31, 2026</t>
        </is>
      </c>
    </row>
    <row r="3"/>
    <row r="4">
      <c r="A4" s="27" t="inlineStr">
        <is>
          <t>Risk_ID</t>
        </is>
      </c>
      <c r="B4" s="27" t="inlineStr">
        <is>
          <t>Risk_Title</t>
        </is>
      </c>
      <c r="C4" s="27" t="inlineStr">
        <is>
          <t>Category</t>
        </is>
      </c>
      <c r="D4" s="27" t="inlineStr">
        <is>
          <t>Probability</t>
        </is>
      </c>
      <c r="E4" s="27" t="inlineStr">
        <is>
          <t>Impact</t>
        </is>
      </c>
      <c r="F4" s="27" t="inlineStr">
        <is>
          <t>Risk_Score</t>
        </is>
      </c>
      <c r="G4" s="27" t="inlineStr">
        <is>
          <t>RAG_Level</t>
        </is>
      </c>
      <c r="H4" s="27" t="inlineStr">
        <is>
          <t>Financial_Exposure</t>
        </is>
      </c>
      <c r="I4" s="27" t="inlineStr">
        <is>
          <t>Expected_Monetary_Value</t>
        </is>
      </c>
      <c r="J4" s="27" t="inlineStr">
        <is>
          <t>Mitigation_Strategy</t>
        </is>
      </c>
      <c r="K4" s="27" t="inlineStr">
        <is>
          <t>CAM_Owner</t>
        </is>
      </c>
    </row>
    <row r="5">
      <c r="A5" s="28" t="inlineStr">
        <is>
          <t>R01</t>
        </is>
      </c>
      <c r="B5" s="28" t="inlineStr">
        <is>
          <t>Egersund Derrick Mast Welding Tolerance Rework</t>
        </is>
      </c>
      <c r="C5" s="28" t="inlineStr">
        <is>
          <t>Fabrication</t>
        </is>
      </c>
      <c r="D5" s="29" t="n">
        <v>5</v>
      </c>
      <c r="E5" s="29" t="n">
        <v>5</v>
      </c>
      <c r="F5" s="29" t="n">
        <v>25</v>
      </c>
      <c r="G5" s="28" t="inlineStr">
        <is>
          <t>Critical</t>
        </is>
      </c>
      <c r="H5" s="30" t="n">
        <v>2400000</v>
      </c>
      <c r="I5" s="30" t="n">
        <v>2400000</v>
      </c>
      <c r="J5" s="28" t="inlineStr">
        <is>
          <t>Capped yard labor hours under fixed-fee contract &amp; 24/7 NDT supervision</t>
        </is>
      </c>
      <c r="K5" s="28" t="inlineStr">
        <is>
          <t>Lars Hansen</t>
        </is>
      </c>
    </row>
    <row r="6">
      <c r="A6" s="28" t="inlineStr">
        <is>
          <t>R02</t>
        </is>
      </c>
      <c r="B6" s="28" t="inlineStr">
        <is>
          <t>North Sea Weather Standby Delay during Mating</t>
        </is>
      </c>
      <c r="C6" s="28" t="inlineStr">
        <is>
          <t>Marine</t>
        </is>
      </c>
      <c r="D6" s="29" t="n">
        <v>4</v>
      </c>
      <c r="E6" s="29" t="n">
        <v>4</v>
      </c>
      <c r="F6" s="29" t="n">
        <v>16</v>
      </c>
      <c r="G6" s="28" t="inlineStr">
        <is>
          <t>High</t>
        </is>
      </c>
      <c r="H6" s="30" t="n">
        <v>1800000</v>
      </c>
      <c r="I6" s="30" t="n">
        <v>720000</v>
      </c>
      <c r="J6" s="28" t="inlineStr">
        <is>
          <t>Secured 14-day flexible mobilization window with Heerema Sleipnir</t>
        </is>
      </c>
      <c r="K6" s="28" t="inlineStr">
        <is>
          <t>Erik Solberg</t>
        </is>
      </c>
    </row>
    <row r="7">
      <c r="A7" s="28" t="inlineStr">
        <is>
          <t>R03</t>
        </is>
      </c>
      <c r="B7" s="28" t="inlineStr">
        <is>
          <t>Subsea Tubular Steel Market Price Surcharges</t>
        </is>
      </c>
      <c r="C7" s="28" t="inlineStr">
        <is>
          <t>Procurement</t>
        </is>
      </c>
      <c r="D7" s="29" t="n">
        <v>3</v>
      </c>
      <c r="E7" s="29" t="n">
        <v>3</v>
      </c>
      <c r="F7" s="29" t="n">
        <v>9</v>
      </c>
      <c r="G7" s="28" t="inlineStr">
        <is>
          <t>Medium</t>
        </is>
      </c>
      <c r="H7" s="30" t="n">
        <v>600000</v>
      </c>
      <c r="I7" s="30" t="n">
        <v>180000</v>
      </c>
      <c r="J7" s="28" t="inlineStr">
        <is>
          <t>Locked bulk steel purchasing under long-term supplier framework</t>
        </is>
      </c>
      <c r="K7" s="28" t="inlineStr">
        <is>
          <t>Ingrid Berg</t>
        </is>
      </c>
    </row>
    <row r="8">
      <c r="A8" s="28" t="inlineStr">
        <is>
          <t>R04</t>
        </is>
      </c>
      <c r="B8" s="28" t="inlineStr">
        <is>
          <t>DNV Class Structural Redesign Review</t>
        </is>
      </c>
      <c r="C8" s="28" t="inlineStr">
        <is>
          <t>Engineering</t>
        </is>
      </c>
      <c r="D8" s="29" t="n">
        <v>2</v>
      </c>
      <c r="E8" s="29" t="n">
        <v>3</v>
      </c>
      <c r="F8" s="29" t="n">
        <v>6</v>
      </c>
      <c r="G8" s="28" t="inlineStr">
        <is>
          <t>Medium</t>
        </is>
      </c>
      <c r="H8" s="30" t="n">
        <v>300000</v>
      </c>
      <c r="I8" s="30" t="n">
        <v>60000</v>
      </c>
      <c r="J8" s="28" t="inlineStr">
        <is>
          <t>Embedded DNV structural lead directly inside project engineering team</t>
        </is>
      </c>
      <c r="K8" s="28" t="inlineStr">
        <is>
          <t>Geir Nilsen</t>
        </is>
      </c>
    </row>
    <row r="9">
      <c r="A9" s="28" t="inlineStr">
        <is>
          <t>R05</t>
        </is>
      </c>
      <c r="B9" s="28" t="inlineStr">
        <is>
          <t>Offshore Hook-up Commissioning Crew Bottleneck</t>
        </is>
      </c>
      <c r="C9" s="28" t="inlineStr">
        <is>
          <t>Commissioning</t>
        </is>
      </c>
      <c r="D9" s="29" t="n">
        <v>2</v>
      </c>
      <c r="E9" s="29" t="n">
        <v>2</v>
      </c>
      <c r="F9" s="29" t="n">
        <v>4</v>
      </c>
      <c r="G9" s="28" t="inlineStr">
        <is>
          <t>Low</t>
        </is>
      </c>
      <c r="H9" s="30" t="n">
        <v>200000</v>
      </c>
      <c r="I9" s="30" t="n">
        <v>40000</v>
      </c>
      <c r="J9" s="28" t="inlineStr">
        <is>
          <t>Pre-commissioned skid packages onshore in Verdal yard</t>
        </is>
      </c>
      <c r="K9" s="28" t="inlineStr">
        <is>
          <t>Bjørn Lie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73" customWidth="1" min="1" max="1"/>
    <col width="42" customWidth="1" min="2" max="2"/>
    <col width="12" customWidth="1" min="3" max="3"/>
    <col width="20" customWidth="1" min="4" max="4"/>
    <col width="19" customWidth="1" min="5" max="5"/>
    <col width="13" customWidth="1" min="6" max="6"/>
    <col width="72" customWidth="1" min="7" max="7"/>
  </cols>
  <sheetData>
    <row r="1">
      <c r="A1" s="25" t="inlineStr">
        <is>
          <t>WATERFALL BRIDGE</t>
        </is>
      </c>
    </row>
    <row r="2">
      <c r="A2" s="26" t="inlineStr">
        <is>
          <t>Offshore EPC Platform Drill Tower Project — Status Date: Aug 31, 2026</t>
        </is>
      </c>
    </row>
    <row r="3"/>
    <row r="4">
      <c r="A4" s="27" t="inlineStr">
        <is>
          <t>Step_ID</t>
        </is>
      </c>
      <c r="B4" s="27" t="inlineStr">
        <is>
          <t>Component_Name</t>
        </is>
      </c>
      <c r="C4" s="27" t="inlineStr">
        <is>
          <t>Type</t>
        </is>
      </c>
      <c r="D4" s="27" t="inlineStr">
        <is>
          <t>Incremental_Cost</t>
        </is>
      </c>
      <c r="E4" s="27" t="inlineStr">
        <is>
          <t>Cumulative_Cost</t>
        </is>
      </c>
      <c r="F4" s="27" t="inlineStr">
        <is>
          <t>Pct_Share</t>
        </is>
      </c>
      <c r="G4" s="27" t="inlineStr">
        <is>
          <t>Description</t>
        </is>
      </c>
    </row>
    <row r="5">
      <c r="A5" s="29" t="n">
        <v>0</v>
      </c>
      <c r="B5" s="28" t="inlineStr">
        <is>
          <t>Original Baseline Budget (BAC)</t>
        </is>
      </c>
      <c r="C5" s="28" t="inlineStr">
        <is>
          <t>Baseline</t>
        </is>
      </c>
      <c r="D5" s="30" t="n">
        <v>26500000</v>
      </c>
      <c r="E5" s="30" t="n">
        <v>26500000</v>
      </c>
      <c r="F5" s="29" t="n">
        <v>0</v>
      </c>
      <c r="G5" s="28" t="inlineStr">
        <is>
          <t>Approved EPC baseline contract budget ceiling</t>
        </is>
      </c>
    </row>
    <row r="6">
      <c r="A6" s="29" t="n">
        <v>1</v>
      </c>
      <c r="B6" s="28" t="inlineStr">
        <is>
          <t>WBS 1.1 Detail Structural Engineering</t>
        </is>
      </c>
      <c r="C6" s="28" t="inlineStr">
        <is>
          <t>Variance</t>
        </is>
      </c>
      <c r="D6" s="30" t="n">
        <v>300000</v>
      </c>
      <c r="E6" s="30" t="n">
        <v>26800000</v>
      </c>
      <c r="F6" s="29" t="n">
        <v>3.4</v>
      </c>
      <c r="G6" s="28" t="inlineStr">
        <is>
          <t>Redesign of connection plates &amp; third-party DNV class review</t>
        </is>
      </c>
    </row>
    <row r="7">
      <c r="A7" s="29" t="n">
        <v>2</v>
      </c>
      <c r="B7" s="28" t="inlineStr">
        <is>
          <t>WBS 1.2 Procurement &amp; Tubular Steel</t>
        </is>
      </c>
      <c r="C7" s="28" t="inlineStr">
        <is>
          <t>Variance</t>
        </is>
      </c>
      <c r="D7" s="30" t="n">
        <v>600000</v>
      </c>
      <c r="E7" s="30" t="n">
        <v>27400000</v>
      </c>
      <c r="F7" s="29" t="n">
        <v>6.7</v>
      </c>
      <c r="G7" s="28" t="inlineStr">
        <is>
          <t>Subsea tubular steel price inflation &amp; mud pump freight surcharge</t>
        </is>
      </c>
    </row>
    <row r="8">
      <c r="A8" s="29" t="n">
        <v>3</v>
      </c>
      <c r="B8" s="28" t="inlineStr">
        <is>
          <t>WBS 1.3.1 Verdal Sub-Structure Yard</t>
        </is>
      </c>
      <c r="C8" s="28" t="inlineStr">
        <is>
          <t>Variance</t>
        </is>
      </c>
      <c r="D8" s="30" t="n">
        <v>200000</v>
      </c>
      <c r="E8" s="30" t="n">
        <v>27600000</v>
      </c>
      <c r="F8" s="29" t="n">
        <v>2.2</v>
      </c>
      <c r="G8" s="28" t="inlineStr">
        <is>
          <t>Minor yard overtime for weld inspection</t>
        </is>
      </c>
    </row>
    <row r="9">
      <c r="A9" s="29" t="n">
        <v>4</v>
      </c>
      <c r="B9" s="28" t="inlineStr">
        <is>
          <t>WBS 1.3.2 Egersund Derrick Mast Rework</t>
        </is>
      </c>
      <c r="C9" s="28" t="inlineStr">
        <is>
          <t>Variance</t>
        </is>
      </c>
      <c r="D9" s="30" t="n">
        <v>2400000</v>
      </c>
      <c r="E9" s="30" t="n">
        <v>30000000</v>
      </c>
      <c r="F9" s="29" t="n">
        <v>26.9</v>
      </c>
      <c r="G9" s="28" t="inlineStr">
        <is>
          <t>PRIMARY YARD REWORK DRIVER: Pipe out-of-tolerance &amp; 24/7 NDT welding</t>
        </is>
      </c>
    </row>
    <row r="10">
      <c r="A10" s="29" t="n">
        <v>5</v>
      </c>
      <c r="B10" s="28" t="inlineStr">
        <is>
          <t>WBS 1.4.1 Heavy Lift Vessel Standby</t>
        </is>
      </c>
      <c r="C10" s="28" t="inlineStr">
        <is>
          <t>Variance</t>
        </is>
      </c>
      <c r="D10" s="30" t="n">
        <v>1300000</v>
      </c>
      <c r="E10" s="30" t="n">
        <v>31300000</v>
      </c>
      <c r="F10" s="29" t="n">
        <v>14.6</v>
      </c>
      <c r="G10" s="28" t="inlineStr">
        <is>
          <t>North Sea autumn weather standby rates (Heerema Sleipnir)</t>
        </is>
      </c>
    </row>
    <row r="11">
      <c r="A11" s="29" t="n">
        <v>6</v>
      </c>
      <c r="B11" s="28" t="inlineStr">
        <is>
          <t>WBS 1.4.2 Topside Lifting &amp; Mating</t>
        </is>
      </c>
      <c r="C11" s="28" t="inlineStr">
        <is>
          <t>Variance</t>
        </is>
      </c>
      <c r="D11" s="30" t="n">
        <v>100000</v>
      </c>
      <c r="E11" s="30" t="n">
        <v>31400000</v>
      </c>
      <c r="F11" s="29" t="n">
        <v>1.1</v>
      </c>
      <c r="G11" s="28" t="inlineStr">
        <is>
          <t>Pre-lift trial fitting and alignment fixtures</t>
        </is>
      </c>
    </row>
    <row r="12">
      <c r="A12" s="29" t="n">
        <v>7</v>
      </c>
      <c r="B12" s="28" t="inlineStr">
        <is>
          <t>WBS 1.5 Hook-up &amp; Commissioning</t>
        </is>
      </c>
      <c r="C12" s="28" t="inlineStr">
        <is>
          <t>Variance</t>
        </is>
      </c>
      <c r="D12" s="30" t="n">
        <v>200000</v>
      </c>
      <c r="E12" s="30" t="n">
        <v>31600000</v>
      </c>
      <c r="F12" s="29" t="n">
        <v>2.2</v>
      </c>
      <c r="G12" s="28" t="inlineStr">
        <is>
          <t>Extended offshore commissioning specialist crew</t>
        </is>
      </c>
    </row>
    <row r="13">
      <c r="A13" s="29" t="n">
        <v>8</v>
      </c>
      <c r="B13" s="28" t="inlineStr">
        <is>
          <t>Time Delay Overhead Spread (SPI_t)</t>
        </is>
      </c>
      <c r="C13" s="28" t="inlineStr">
        <is>
          <t>Variance</t>
        </is>
      </c>
      <c r="D13" s="30" t="n">
        <v>3813604</v>
      </c>
      <c r="E13" s="30" t="n">
        <v>35413604</v>
      </c>
      <c r="F13" s="29" t="n">
        <v>42.8</v>
      </c>
      <c r="G13" s="28" t="inlineStr">
        <is>
          <t>TIME DELAY SPREAD: +31-day delay spreading PMO &amp; site overhead</t>
        </is>
      </c>
    </row>
    <row r="14">
      <c r="A14" s="29" t="n">
        <v>9</v>
      </c>
      <c r="B14" s="28" t="inlineStr">
        <is>
          <t>Final Outturn Forecast (EAC)</t>
        </is>
      </c>
      <c r="C14" s="28" t="inlineStr">
        <is>
          <t>Outturn</t>
        </is>
      </c>
      <c r="D14" s="30" t="n">
        <v>35413604</v>
      </c>
      <c r="E14" s="30" t="n">
        <v>35413604</v>
      </c>
      <c r="F14" s="29" t="n">
        <v>100</v>
      </c>
      <c r="G14" s="28" t="inlineStr">
        <is>
          <t>Final predicted cost outcome at project completion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73" customWidth="1" min="1" max="1"/>
    <col width="14" customWidth="1" min="2" max="2"/>
    <col width="14" customWidth="1" min="3" max="3"/>
    <col width="14" customWidth="1" min="4" max="4"/>
    <col width="12" customWidth="1" min="5" max="5"/>
    <col width="17" customWidth="1" min="6" max="6"/>
    <col width="33" customWidth="1" min="7" max="7"/>
  </cols>
  <sheetData>
    <row r="1">
      <c r="A1" s="25" t="inlineStr">
        <is>
          <t>CASH BURN RATE</t>
        </is>
      </c>
    </row>
    <row r="2">
      <c r="A2" s="26" t="inlineStr">
        <is>
          <t>Offshore EPC Platform Drill Tower Project — Status Date: Aug 31, 2026</t>
        </is>
      </c>
    </row>
    <row r="3"/>
    <row r="4">
      <c r="A4" s="27" t="inlineStr">
        <is>
          <t>Period</t>
        </is>
      </c>
      <c r="B4" s="27" t="inlineStr">
        <is>
          <t>Monthly_PV</t>
        </is>
      </c>
      <c r="C4" s="27" t="inlineStr">
        <is>
          <t>Monthly_EV</t>
        </is>
      </c>
      <c r="D4" s="27" t="inlineStr">
        <is>
          <t>Monthly_AC</t>
        </is>
      </c>
      <c r="E4" s="27" t="inlineStr">
        <is>
          <t>Cum_AC</t>
        </is>
      </c>
      <c r="F4" s="27" t="inlineStr">
        <is>
          <t>Remaining_BAC</t>
        </is>
      </c>
      <c r="G4" s="27" t="inlineStr">
        <is>
          <t>Runway_Status</t>
        </is>
      </c>
    </row>
    <row r="5">
      <c r="A5" s="28" t="inlineStr">
        <is>
          <t>M1 (Jan 26)</t>
        </is>
      </c>
      <c r="B5" s="30" t="n">
        <v>300000</v>
      </c>
      <c r="C5" s="30" t="n">
        <v>300000</v>
      </c>
      <c r="D5" s="30" t="n">
        <v>320000</v>
      </c>
      <c r="E5" s="30" t="n">
        <v>320000</v>
      </c>
      <c r="F5" s="30" t="n">
        <v>26180000</v>
      </c>
      <c r="G5" s="28" t="inlineStr">
        <is>
          <t>Baseline Runway</t>
        </is>
      </c>
    </row>
    <row r="6">
      <c r="A6" s="28" t="inlineStr">
        <is>
          <t>M2 (Feb 26)</t>
        </is>
      </c>
      <c r="B6" s="30" t="n">
        <v>900000</v>
      </c>
      <c r="C6" s="30" t="n">
        <v>840000</v>
      </c>
      <c r="D6" s="30" t="n">
        <v>950000</v>
      </c>
      <c r="E6" s="30" t="n">
        <v>1270000</v>
      </c>
      <c r="F6" s="30" t="n">
        <v>25230000</v>
      </c>
      <c r="G6" s="28" t="inlineStr">
        <is>
          <t>Baseline Runway</t>
        </is>
      </c>
    </row>
    <row r="7">
      <c r="A7" s="28" t="inlineStr">
        <is>
          <t>M3 (Mar 26)</t>
        </is>
      </c>
      <c r="B7" s="30" t="n">
        <v>2700000</v>
      </c>
      <c r="C7" s="30" t="n">
        <v>2260000</v>
      </c>
      <c r="D7" s="30" t="n">
        <v>2900000</v>
      </c>
      <c r="E7" s="30" t="n">
        <v>4170000</v>
      </c>
      <c r="F7" s="30" t="n">
        <v>22330000</v>
      </c>
      <c r="G7" s="28" t="inlineStr">
        <is>
          <t>Baseline Runway</t>
        </is>
      </c>
    </row>
    <row r="8">
      <c r="A8" s="28" t="inlineStr">
        <is>
          <t>M4 (Apr 26)</t>
        </is>
      </c>
      <c r="B8" s="30" t="n">
        <v>3800000</v>
      </c>
      <c r="C8" s="30" t="n">
        <v>3520000</v>
      </c>
      <c r="D8" s="30" t="n">
        <v>4050000</v>
      </c>
      <c r="E8" s="30" t="n">
        <v>8220000</v>
      </c>
      <c r="F8" s="30" t="n">
        <v>18280000</v>
      </c>
      <c r="G8" s="28" t="inlineStr">
        <is>
          <t>Baseline Runway</t>
        </is>
      </c>
    </row>
    <row r="9">
      <c r="A9" s="28" t="inlineStr">
        <is>
          <t>M5 (May 26)</t>
        </is>
      </c>
      <c r="B9" s="30" t="n">
        <v>3000000</v>
      </c>
      <c r="C9" s="30" t="n">
        <v>2900000</v>
      </c>
      <c r="D9" s="30" t="n">
        <v>3220000</v>
      </c>
      <c r="E9" s="30" t="n">
        <v>11440000</v>
      </c>
      <c r="F9" s="30" t="n">
        <v>15060000</v>
      </c>
      <c r="G9" s="28" t="inlineStr">
        <is>
          <t>Baseline Runway</t>
        </is>
      </c>
    </row>
    <row r="10">
      <c r="A10" s="28" t="inlineStr">
        <is>
          <t>M6 (Jun 26)</t>
        </is>
      </c>
      <c r="B10" s="30" t="n">
        <v>4000000</v>
      </c>
      <c r="C10" s="30" t="n">
        <v>2750000</v>
      </c>
      <c r="D10" s="30" t="n">
        <v>4450000</v>
      </c>
      <c r="E10" s="30" t="n">
        <v>15890000</v>
      </c>
      <c r="F10" s="30" t="n">
        <v>10610000</v>
      </c>
      <c r="G10" s="28" t="inlineStr">
        <is>
          <t>Peak Yard Spend Phase</t>
        </is>
      </c>
    </row>
    <row r="11">
      <c r="A11" s="28" t="inlineStr">
        <is>
          <t>M7 (Jul 26)</t>
        </is>
      </c>
      <c r="B11" s="30" t="n">
        <v>3000000</v>
      </c>
      <c r="C11" s="30" t="n">
        <v>2620000</v>
      </c>
      <c r="D11" s="30" t="n">
        <v>3850000</v>
      </c>
      <c r="E11" s="30" t="n">
        <v>19740000</v>
      </c>
      <c r="F11" s="30" t="n">
        <v>6760000</v>
      </c>
      <c r="G11" s="28" t="inlineStr">
        <is>
          <t>Peak Yard Spend Phase</t>
        </is>
      </c>
    </row>
    <row r="12">
      <c r="A12" s="28" t="inlineStr">
        <is>
          <t>M8 (Aug 26 - Now)</t>
        </is>
      </c>
      <c r="B12" s="30" t="n">
        <v>2800000</v>
      </c>
      <c r="C12" s="30" t="n">
        <v>2350000</v>
      </c>
      <c r="D12" s="30" t="n">
        <v>3700000</v>
      </c>
      <c r="E12" s="30" t="n">
        <v>23440000</v>
      </c>
      <c r="F12" s="30" t="n">
        <v>3060000</v>
      </c>
      <c r="G12" s="28" t="inlineStr">
        <is>
          <t>Critical Runway ($3.06M Left)</t>
        </is>
      </c>
    </row>
    <row r="13">
      <c r="A13" s="28" t="inlineStr">
        <is>
          <t>M9 (Sep 26 - Burn)</t>
        </is>
      </c>
      <c r="B13" s="30" t="n">
        <v>2500000</v>
      </c>
      <c r="C13" s="30" t="n">
        <v>2100000</v>
      </c>
      <c r="D13" s="30" t="n">
        <v>3200000</v>
      </c>
      <c r="E13" s="30" t="n">
        <v>26640000</v>
      </c>
      <c r="F13" s="30" t="n">
        <v>-140000</v>
      </c>
      <c r="G13" s="28" t="inlineStr">
        <is>
          <t>100% BUDGET BURN OUT!</t>
        </is>
      </c>
    </row>
    <row r="14">
      <c r="A14" s="28" t="inlineStr">
        <is>
          <t>M10 (Oct 26)</t>
        </is>
      </c>
      <c r="B14" s="30" t="n">
        <v>1500000</v>
      </c>
      <c r="C14" s="30" t="n">
        <v>2200000</v>
      </c>
      <c r="D14" s="30" t="n">
        <v>3300000</v>
      </c>
      <c r="E14" s="30" t="n">
        <v>29940000</v>
      </c>
      <c r="F14" s="30" t="n">
        <v>-3440000</v>
      </c>
      <c r="G14" s="28" t="inlineStr">
        <is>
          <t>Overrun Financing Phase</t>
        </is>
      </c>
    </row>
    <row r="15">
      <c r="A15" s="28" t="inlineStr">
        <is>
          <t>M11 (Nov 26)</t>
        </is>
      </c>
      <c r="B15" s="30" t="n">
        <v>1000000</v>
      </c>
      <c r="C15" s="30" t="n">
        <v>2000000</v>
      </c>
      <c r="D15" s="30" t="n">
        <v>2500000</v>
      </c>
      <c r="E15" s="30" t="n">
        <v>32440000</v>
      </c>
      <c r="F15" s="30" t="n">
        <v>-5940000</v>
      </c>
      <c r="G15" s="28" t="inlineStr">
        <is>
          <t>Overrun Financing Phase</t>
        </is>
      </c>
    </row>
    <row r="16">
      <c r="A16" s="28" t="inlineStr">
        <is>
          <t>M12 (Dec 26)</t>
        </is>
      </c>
      <c r="B16" s="30" t="n">
        <v>1000000</v>
      </c>
      <c r="C16" s="30" t="n">
        <v>1800000</v>
      </c>
      <c r="D16" s="30" t="n">
        <v>1800000</v>
      </c>
      <c r="E16" s="30" t="n">
        <v>34240000</v>
      </c>
      <c r="F16" s="30" t="n">
        <v>-7740000</v>
      </c>
      <c r="G16" s="28" t="inlineStr">
        <is>
          <t>Overrun Financing Phase</t>
        </is>
      </c>
    </row>
    <row r="17">
      <c r="A17" s="28" t="inlineStr">
        <is>
          <t>M13 (Jan 27 - COD)</t>
        </is>
      </c>
      <c r="B17" s="30" t="n">
        <v>0</v>
      </c>
      <c r="C17" s="30" t="n">
        <v>860000</v>
      </c>
      <c r="D17" s="30" t="n">
        <v>1173604</v>
      </c>
      <c r="E17" s="30" t="n">
        <v>35413604</v>
      </c>
      <c r="F17" s="30" t="n">
        <v>-8913604</v>
      </c>
      <c r="G17" s="28" t="inlineStr">
        <is>
          <t>Final COD (+8.91M Overrun)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73" customWidth="1" min="1" max="1"/>
    <col width="16" customWidth="1" min="2" max="2"/>
    <col width="17" customWidth="1" min="3" max="3"/>
    <col width="12" customWidth="1" min="4" max="4"/>
    <col width="45" customWidth="1" min="5" max="5"/>
  </cols>
  <sheetData>
    <row r="1">
      <c r="A1" s="25" t="inlineStr">
        <is>
          <t>FINANCIAL RATIOS</t>
        </is>
      </c>
    </row>
    <row r="2">
      <c r="A2" s="26" t="inlineStr">
        <is>
          <t>Offshore EPC Platform Drill Tower Project — Status Date: Aug 31, 2026</t>
        </is>
      </c>
    </row>
    <row r="3"/>
    <row r="4">
      <c r="A4" s="27" t="inlineStr">
        <is>
          <t>Metric</t>
        </is>
      </c>
      <c r="B4" s="27" t="inlineStr">
        <is>
          <t>Value</t>
        </is>
      </c>
      <c r="C4" s="27" t="inlineStr">
        <is>
          <t>Numeric_Value</t>
        </is>
      </c>
      <c r="D4" s="27" t="inlineStr">
        <is>
          <t>Unit</t>
        </is>
      </c>
      <c r="E4" s="27" t="inlineStr">
        <is>
          <t>Evaluation</t>
        </is>
      </c>
    </row>
    <row r="5">
      <c r="A5" s="28" t="inlineStr">
        <is>
          <t>Net Present Value (NPV @ 10% WACC)</t>
        </is>
      </c>
      <c r="B5" s="28" t="inlineStr">
        <is>
          <t>+$14,899,563</t>
        </is>
      </c>
      <c r="C5" s="29" t="n">
        <v>14899563</v>
      </c>
      <c r="D5" s="28" t="inlineStr">
        <is>
          <t>USD</t>
        </is>
      </c>
      <c r="E5" s="28" t="inlineStr">
        <is>
          <t>Strong Positive Net Present Value</t>
        </is>
      </c>
    </row>
    <row r="6">
      <c r="A6" s="28" t="inlineStr">
        <is>
          <t>Internal Rate of Return (IRR)</t>
        </is>
      </c>
      <c r="B6" s="28" t="inlineStr">
        <is>
          <t>18.86%</t>
        </is>
      </c>
      <c r="C6" s="29" t="n">
        <v>0.1886</v>
      </c>
      <c r="D6" s="28" t="inlineStr">
        <is>
          <t>%</t>
        </is>
      </c>
      <c r="E6" s="28" t="inlineStr">
        <is>
          <t>Outperforms 10.0% Hurdle Rate by +886 bps</t>
        </is>
      </c>
    </row>
    <row r="7">
      <c r="A7" s="28" t="inlineStr">
        <is>
          <t>Simple Payback Period</t>
        </is>
      </c>
      <c r="B7" s="28" t="inlineStr">
        <is>
          <t>4.43 Years</t>
        </is>
      </c>
      <c r="C7" s="29" t="n">
        <v>4.43</v>
      </c>
      <c r="D7" s="28" t="inlineStr">
        <is>
          <t>Years</t>
        </is>
      </c>
      <c r="E7" s="28" t="inlineStr">
        <is>
          <t>53.1 Months (May 2031)</t>
        </is>
      </c>
    </row>
    <row r="8">
      <c r="A8" s="28" t="inlineStr">
        <is>
          <t>Profitability Index (PI)</t>
        </is>
      </c>
      <c r="B8" s="28" t="inlineStr">
        <is>
          <t>1.42</t>
        </is>
      </c>
      <c r="C8" s="29" t="n">
        <v>1.42</v>
      </c>
      <c r="D8" s="28" t="inlineStr">
        <is>
          <t>Ratio</t>
        </is>
      </c>
      <c r="E8" s="28" t="inlineStr">
        <is>
          <t>Generates $1.42 PV per $1.00 spent</t>
        </is>
      </c>
    </row>
    <row r="9">
      <c r="A9" s="28" t="inlineStr">
        <is>
          <t>Total Simple ROI</t>
        </is>
      </c>
      <c r="B9" s="28" t="inlineStr">
        <is>
          <t>134.37%</t>
        </is>
      </c>
      <c r="C9" s="29" t="n">
        <v>1.3437</v>
      </c>
      <c r="D9" s="28" t="inlineStr">
        <is>
          <t>%</t>
        </is>
      </c>
      <c r="E9" s="28" t="inlineStr">
        <is>
          <t>High 10-year cumulative commercial return</t>
        </is>
      </c>
    </row>
    <row r="10">
      <c r="A10" s="28" t="inlineStr">
        <is>
          <t>Annualized ROI (CAGR)</t>
        </is>
      </c>
      <c r="B10" s="28" t="inlineStr">
        <is>
          <t>8.89%</t>
        </is>
      </c>
      <c r="C10" s="29" t="n">
        <v>0.08890000000000001</v>
      </c>
      <c r="D10" s="28" t="inlineStr">
        <is>
          <t>%/Year</t>
        </is>
      </c>
      <c r="E10" s="28" t="inlineStr">
        <is>
          <t>Compounded annual growth rate</t>
        </is>
      </c>
    </row>
    <row r="11">
      <c r="A11" s="28" t="inlineStr">
        <is>
          <t>Gross Future Value Year 10 (FV)</t>
        </is>
      </c>
      <c r="B11" s="28" t="inlineStr">
        <is>
          <t>$130,499,397</t>
        </is>
      </c>
      <c r="C11" s="29" t="n">
        <v>130499397</v>
      </c>
      <c r="D11" s="28" t="inlineStr">
        <is>
          <t>USD</t>
        </is>
      </c>
      <c r="E11" s="28" t="inlineStr">
        <is>
          <t>Nominal cash generated across 10 years</t>
        </is>
      </c>
    </row>
    <row r="12">
      <c r="A12" s="28" t="inlineStr">
        <is>
          <t>Net Future Value (NFV)</t>
        </is>
      </c>
      <c r="B12" s="28" t="inlineStr">
        <is>
          <t>+$38,645,628</t>
        </is>
      </c>
      <c r="C12" s="29" t="n">
        <v>38645628</v>
      </c>
      <c r="D12" s="28" t="inlineStr">
        <is>
          <t>USD</t>
        </is>
      </c>
      <c r="E12" s="28" t="inlineStr">
        <is>
          <t>Net future value after CAPEX outturn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73" customWidth="1" min="1" max="1"/>
    <col width="23" customWidth="1" min="2" max="2"/>
    <col width="20" customWidth="1" min="3" max="3"/>
    <col width="20" customWidth="1" min="4" max="4"/>
    <col width="23" customWidth="1" min="5" max="5"/>
    <col width="17" customWidth="1" min="6" max="6"/>
    <col width="19" customWidth="1" min="7" max="7"/>
    <col width="23" customWidth="1" min="8" max="8"/>
  </cols>
  <sheetData>
    <row r="1">
      <c r="A1" s="25" t="inlineStr">
        <is>
          <t>MONTE CARLO P90</t>
        </is>
      </c>
    </row>
    <row r="2">
      <c r="A2" s="26" t="inlineStr">
        <is>
          <t>Offshore EPC Platform Drill Tower Project — Status Date: Aug 31, 2026</t>
        </is>
      </c>
    </row>
    <row r="3"/>
    <row r="4">
      <c r="A4" s="27" t="inlineStr">
        <is>
          <t>Percentile</t>
        </is>
      </c>
      <c r="B4" s="27" t="inlineStr">
        <is>
          <t>Confidence_Level</t>
        </is>
      </c>
      <c r="C4" s="27" t="inlineStr">
        <is>
          <t>Outturn_Cost_EAC</t>
        </is>
      </c>
      <c r="D4" s="27" t="inlineStr">
        <is>
          <t>Cost_Overrun_VAC</t>
        </is>
      </c>
      <c r="E4" s="27" t="inlineStr">
        <is>
          <t>Contingency_Reserve</t>
        </is>
      </c>
      <c r="F4" s="27" t="inlineStr">
        <is>
          <t>Duration_Days</t>
        </is>
      </c>
      <c r="G4" s="27" t="inlineStr">
        <is>
          <t>Completion_Date</t>
        </is>
      </c>
      <c r="H4" s="27" t="inlineStr">
        <is>
          <t>Schedule_Delay_Days</t>
        </is>
      </c>
    </row>
    <row r="5">
      <c r="A5" s="28" t="inlineStr">
        <is>
          <t>P10</t>
        </is>
      </c>
      <c r="B5" s="28" t="inlineStr">
        <is>
          <t>10% Optimistic</t>
        </is>
      </c>
      <c r="C5" s="30" t="n">
        <v>32444302</v>
      </c>
      <c r="D5" s="30" t="n">
        <v>-5944302</v>
      </c>
      <c r="E5" s="30" t="n">
        <v>0</v>
      </c>
      <c r="F5" s="29" t="n">
        <v>408.1</v>
      </c>
      <c r="G5" s="28" t="inlineStr">
        <is>
          <t>2027-02-13</t>
        </is>
      </c>
      <c r="H5" s="29" t="n">
        <v>43.1</v>
      </c>
    </row>
    <row r="6">
      <c r="A6" s="28" t="inlineStr">
        <is>
          <t>P50</t>
        </is>
      </c>
      <c r="B6" s="28" t="inlineStr">
        <is>
          <t>50% Median</t>
        </is>
      </c>
      <c r="C6" s="30" t="n">
        <v>34060783</v>
      </c>
      <c r="D6" s="30" t="n">
        <v>-7560783</v>
      </c>
      <c r="E6" s="30" t="n">
        <v>0</v>
      </c>
      <c r="F6" s="29" t="n">
        <v>422.3</v>
      </c>
      <c r="G6" s="28" t="inlineStr">
        <is>
          <t>2027-02-27</t>
        </is>
      </c>
      <c r="H6" s="29" t="n">
        <v>57.3</v>
      </c>
    </row>
    <row r="7">
      <c r="A7" s="28" t="inlineStr">
        <is>
          <t>P80</t>
        </is>
      </c>
      <c r="B7" s="28" t="inlineStr">
        <is>
          <t>80% Standard</t>
        </is>
      </c>
      <c r="C7" s="30" t="n">
        <v>35195026</v>
      </c>
      <c r="D7" s="30" t="n">
        <v>-8695026</v>
      </c>
      <c r="E7" s="30" t="n">
        <v>0</v>
      </c>
      <c r="F7" s="29" t="n">
        <v>432.3</v>
      </c>
      <c r="G7" s="28" t="inlineStr">
        <is>
          <t>2027-03-09</t>
        </is>
      </c>
      <c r="H7" s="29" t="n">
        <v>67.3</v>
      </c>
    </row>
    <row r="8">
      <c r="A8" s="28" t="inlineStr">
        <is>
          <t>P90</t>
        </is>
      </c>
      <c r="B8" s="28" t="inlineStr">
        <is>
          <t>90% High Confidence</t>
        </is>
      </c>
      <c r="C8" s="30" t="n">
        <v>35815202</v>
      </c>
      <c r="D8" s="30" t="n">
        <v>-9315202</v>
      </c>
      <c r="E8" s="30" t="n">
        <v>401598</v>
      </c>
      <c r="F8" s="29" t="n">
        <v>437.5</v>
      </c>
      <c r="G8" s="28" t="inlineStr">
        <is>
          <t>2027-03-14</t>
        </is>
      </c>
      <c r="H8" s="29" t="n">
        <v>72.5</v>
      </c>
    </row>
    <row r="9">
      <c r="A9" s="28" t="inlineStr">
        <is>
          <t>P95</t>
        </is>
      </c>
      <c r="B9" s="28" t="inlineStr">
        <is>
          <t>95% Extreme Risk</t>
        </is>
      </c>
      <c r="C9" s="30" t="n">
        <v>36272986</v>
      </c>
      <c r="D9" s="30" t="n">
        <v>-9772986</v>
      </c>
      <c r="E9" s="30" t="n">
        <v>859382</v>
      </c>
      <c r="F9" s="29" t="n">
        <v>441.6</v>
      </c>
      <c r="G9" s="28" t="inlineStr">
        <is>
          <t>2027-03-18</t>
        </is>
      </c>
      <c r="H9" s="29" t="n">
        <v>76.59999999999999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2026-08-12T18:47:23Z</dcterms:created>
  <dcterms:modified xmlns:dcterms="http://purl.org/dc/terms/" xmlns:xsi="http://www.w3.org/2001/XMLSchema-instance" xsi:type="dcterms:W3CDTF">2026-08-12T18:51:28Z</dcterms:modified>
</cp:coreProperties>
</file>