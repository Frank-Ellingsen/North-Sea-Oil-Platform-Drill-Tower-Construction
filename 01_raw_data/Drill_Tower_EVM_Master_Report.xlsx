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Briefing" sheetId="1" state="visible" r:id="rId1"/>
    <sheet xmlns:r="http://schemas.openxmlformats.org/officeDocument/2006/relationships" name="Runway &amp; Cash Burn" sheetId="2" state="visible" r:id="rId2"/>
    <sheet xmlns:r="http://schemas.openxmlformats.org/officeDocument/2006/relationships" name="Cost Variance Waterfall" sheetId="3" state="visible" r:id="rId3"/>
    <sheet xmlns:r="http://schemas.openxmlformats.org/officeDocument/2006/relationships" name="EVM &amp; S-Curve Performance" sheetId="4" state="visible" r:id="rId4"/>
    <sheet xmlns:r="http://schemas.openxmlformats.org/officeDocument/2006/relationships" name="CFO Financials" sheetId="5" state="visible" r:id="rId5"/>
    <sheet xmlns:r="http://schemas.openxmlformats.org/officeDocument/2006/relationships" name="Gantt &amp; Critical Pa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"/>
    <numFmt numFmtId="166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1D5DB"/>
      <sz val="10"/>
    </font>
    <font>
      <name val="Segoe UI"/>
      <b val="1"/>
      <color rgb="00DC2626"/>
      <sz val="10"/>
    </font>
    <font>
      <name val="Segoe UI"/>
      <b val="1"/>
      <color rgb="001F2937"/>
      <sz val="12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59669"/>
      <sz val="10"/>
    </font>
    <font>
      <name val="Segoe UI"/>
      <b val="1"/>
      <color rgb="00D97706"/>
      <sz val="10"/>
    </font>
    <font>
      <name val="Segoe UI"/>
      <color rgb="006B7280"/>
      <sz val="9"/>
    </font>
    <font>
      <name val="Segoe UI"/>
      <b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1118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9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3" fillId="3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5" fontId="8" fillId="5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 outlineLevelCol="0"/>
  <cols>
    <col width="113" customWidth="1" min="1" max="1"/>
    <col width="19" customWidth="1" min="2" max="2"/>
    <col width="32" customWidth="1" min="3" max="3"/>
    <col width="19" customWidth="1" min="4" max="4"/>
    <col width="20" customWidth="1" min="5" max="5"/>
    <col width="29" customWidth="1" min="6" max="6"/>
    <col width="19" customWidth="1" min="7" max="7"/>
    <col width="58" customWidth="1" min="8" max="8"/>
  </cols>
  <sheetData>
    <row r="1" ht="28" customHeight="1">
      <c r="A1" s="1" t="inlineStr">
        <is>
          <t xml:space="preserve">  North Sea Platform Drill Tower Construction</t>
        </is>
      </c>
    </row>
    <row r="2" ht="18" customHeight="1">
      <c r="A2" s="2" t="inlineStr">
        <is>
          <t xml:space="preserve">  Executive Steering Committee Monthly Briefing | Status Date: Aug 31, 2026</t>
        </is>
      </c>
    </row>
    <row r="3"/>
    <row r="4" ht="24" customHeight="1">
      <c r="A4" s="3" t="inlineStr">
        <is>
          <t>🚨 OVERALL HEALTH: CRITICAL COST OVERRUN &amp; SCHEDULE SLIPPAGE (RED)  |  BAC Budget Burn Out: Month 9 (Sep 2026)</t>
        </is>
      </c>
    </row>
    <row r="5"/>
    <row r="6">
      <c r="A6" s="4" t="inlineStr">
        <is>
          <t>1. Key EVM Performance Metrics</t>
        </is>
      </c>
    </row>
    <row r="7" ht="24" customHeight="1">
      <c r="A7" s="5" t="inlineStr">
        <is>
          <t>Metric Name</t>
        </is>
      </c>
      <c r="B7" s="6" t="inlineStr">
        <is>
          <t>Acronym</t>
        </is>
      </c>
      <c r="C7" s="7" t="inlineStr">
        <is>
          <t>Current Value</t>
        </is>
      </c>
      <c r="D7" s="7" t="inlineStr">
        <is>
          <t>Baseline Target</t>
        </is>
      </c>
      <c r="E7" s="7" t="inlineStr">
        <is>
          <t>Variance ($ / %)</t>
        </is>
      </c>
      <c r="F7" s="6" t="inlineStr">
        <is>
          <t>Performance Index</t>
        </is>
      </c>
      <c r="G7" s="6" t="inlineStr">
        <is>
          <t>Status Health</t>
        </is>
      </c>
      <c r="H7" s="5" t="inlineStr">
        <is>
          <t>Context &amp; Threshold Notes</t>
        </is>
      </c>
    </row>
    <row r="8" ht="20" customHeight="1">
      <c r="A8" s="8" t="inlineStr">
        <is>
          <t>Approved Baseline Budget</t>
        </is>
      </c>
      <c r="B8" s="9" t="inlineStr">
        <is>
          <t>BAC</t>
        </is>
      </c>
      <c r="C8" s="10" t="n">
        <v>26500000</v>
      </c>
      <c r="D8" s="10" t="n">
        <v>26500000</v>
      </c>
      <c r="E8" s="10" t="n">
        <v>0</v>
      </c>
      <c r="F8" s="11" t="n">
        <v>1</v>
      </c>
      <c r="G8" s="12" t="inlineStr">
        <is>
          <t>Approved Target</t>
        </is>
      </c>
      <c r="H8" s="8" t="inlineStr">
        <is>
          <t>Original baseline budget ceiling</t>
        </is>
      </c>
    </row>
    <row r="9" ht="20" customHeight="1">
      <c r="A9" s="8" t="inlineStr">
        <is>
          <t>Earned Work Complete</t>
        </is>
      </c>
      <c r="B9" s="9" t="inlineStr">
        <is>
          <t>EV</t>
        </is>
      </c>
      <c r="C9" s="10" t="n">
        <v>17540000</v>
      </c>
      <c r="D9" s="10" t="n">
        <v>26500000</v>
      </c>
      <c r="E9" s="10">
        <f>C9-D9</f>
        <v/>
      </c>
      <c r="F9" s="11">
        <f>C9/D9</f>
        <v/>
      </c>
      <c r="G9" s="12" t="inlineStr">
        <is>
          <t>66.2% Complete</t>
        </is>
      </c>
      <c r="H9" s="8" t="inlineStr">
        <is>
          <t>Earned physical work accomplished</t>
        </is>
      </c>
    </row>
    <row r="10" ht="20" customHeight="1">
      <c r="A10" s="8" t="inlineStr">
        <is>
          <t>Planned Baseline Target</t>
        </is>
      </c>
      <c r="B10" s="9" t="inlineStr">
        <is>
          <t>PV</t>
        </is>
      </c>
      <c r="C10" s="10" t="n">
        <v>20500000</v>
      </c>
      <c r="D10" s="10" t="n">
        <v>26500000</v>
      </c>
      <c r="E10" s="10">
        <f>C10-D10</f>
        <v/>
      </c>
      <c r="F10" s="11">
        <f>C10/D10</f>
        <v/>
      </c>
      <c r="G10" s="9" t="inlineStr">
        <is>
          <t>77.4% Scheduled</t>
        </is>
      </c>
      <c r="H10" s="8" t="inlineStr">
        <is>
          <t>Scheduled baseline progress to date</t>
        </is>
      </c>
    </row>
    <row r="11" ht="20" customHeight="1">
      <c r="A11" s="8" t="inlineStr">
        <is>
          <t>Cumulative Actual Spend</t>
        </is>
      </c>
      <c r="B11" s="9" t="inlineStr">
        <is>
          <t>AC</t>
        </is>
      </c>
      <c r="C11" s="10" t="n">
        <v>23440000</v>
      </c>
      <c r="D11" s="10" t="n">
        <v>26500000</v>
      </c>
      <c r="E11" s="10">
        <f>C11-C9</f>
        <v/>
      </c>
      <c r="F11" s="11">
        <f>C9/C11</f>
        <v/>
      </c>
      <c r="G11" s="13" t="inlineStr">
        <is>
          <t>Severe Overrun</t>
        </is>
      </c>
      <c r="H11" s="8" t="inlineStr">
        <is>
          <t>Actual ledger expenditure ($5.90M &gt; EV)</t>
        </is>
      </c>
    </row>
    <row r="12" ht="20" customHeight="1">
      <c r="A12" s="8" t="inlineStr">
        <is>
          <t>Cost Variance</t>
        </is>
      </c>
      <c r="B12" s="9" t="inlineStr">
        <is>
          <t>CV</t>
        </is>
      </c>
      <c r="C12" s="10">
        <f>$C$9-$C$11</f>
        <v/>
      </c>
      <c r="D12" s="10" t="n">
        <v>0</v>
      </c>
      <c r="E12" s="10">
        <f>$C$12</f>
        <v/>
      </c>
      <c r="F12" s="11">
        <f>C9/C11</f>
        <v/>
      </c>
      <c r="G12" s="13" t="inlineStr">
        <is>
          <t>🚨 CRITICAL</t>
        </is>
      </c>
      <c r="H12" s="8" t="inlineStr">
        <is>
          <t>Overrun of -$5.90M (CPI = 0.748)</t>
        </is>
      </c>
    </row>
    <row r="13" ht="20" customHeight="1">
      <c r="A13" s="8" t="inlineStr">
        <is>
          <t>Schedule Variance</t>
        </is>
      </c>
      <c r="B13" s="9" t="inlineStr">
        <is>
          <t>SV</t>
        </is>
      </c>
      <c r="C13" s="10">
        <f>$C$9-$C$10</f>
        <v/>
      </c>
      <c r="D13" s="10" t="n">
        <v>0</v>
      </c>
      <c r="E13" s="10">
        <f>$C$13</f>
        <v/>
      </c>
      <c r="F13" s="11">
        <f>C9/C10</f>
        <v/>
      </c>
      <c r="G13" s="14" t="inlineStr">
        <is>
          <t>🟡 DELAYED</t>
        </is>
      </c>
      <c r="H13" s="8" t="inlineStr">
        <is>
          <t>Value delay of -$2.96M (SPI = 0.856)</t>
        </is>
      </c>
    </row>
    <row r="14" ht="20" customHeight="1">
      <c r="A14" s="8" t="inlineStr">
        <is>
          <t>Earned Schedule Velocity</t>
        </is>
      </c>
      <c r="B14" s="9" t="inlineStr">
        <is>
          <t>SPIt</t>
        </is>
      </c>
      <c r="C14" s="10" t="n">
        <v>0.925</v>
      </c>
      <c r="D14" s="10" t="n">
        <v>1</v>
      </c>
      <c r="E14" s="10" t="n">
        <v>-18.2</v>
      </c>
      <c r="F14" s="11" t="n">
        <v>0.925</v>
      </c>
      <c r="G14" s="14" t="inlineStr">
        <is>
          <t>🟡 -18 Days</t>
        </is>
      </c>
      <c r="H14" s="8" t="inlineStr">
        <is>
          <t>Time-based schedule velocity (ES 7.40M)</t>
        </is>
      </c>
    </row>
    <row r="15" ht="20" customHeight="1">
      <c r="A15" s="8" t="inlineStr">
        <is>
          <t>Critical Ratio (CPI*SPI)</t>
        </is>
      </c>
      <c r="B15" s="9" t="inlineStr">
        <is>
          <t>CR</t>
        </is>
      </c>
      <c r="C15" s="10">
        <f>(C9/C11)*(C9/C10)</f>
        <v/>
      </c>
      <c r="D15" s="10" t="n">
        <v>1</v>
      </c>
      <c r="E15" s="10" t="n">
        <v>0.6402</v>
      </c>
      <c r="F15" s="11" t="n">
        <v>0.6402</v>
      </c>
      <c r="G15" s="13" t="inlineStr">
        <is>
          <t>🚨 CRITICAL</t>
        </is>
      </c>
      <c r="H15" s="8" t="inlineStr">
        <is>
          <t>Compound project health ratio (0.7483 * 0.8556 &lt; 0.90)</t>
        </is>
      </c>
    </row>
    <row r="16" ht="20" customHeight="1">
      <c r="A16" s="8" t="inlineStr">
        <is>
          <t>To-Complete Index (BAC)</t>
        </is>
      </c>
      <c r="B16" s="9" t="inlineStr">
        <is>
          <t>TCPI_BAC</t>
        </is>
      </c>
      <c r="C16" s="10">
        <f>(C8-C9)/(C8-C11)</f>
        <v/>
      </c>
      <c r="D16" s="10" t="n">
        <v>1</v>
      </c>
      <c r="E16" s="10" t="n">
        <v>5.07</v>
      </c>
      <c r="F16" s="11" t="n">
        <v>6.07</v>
      </c>
      <c r="G16" s="13" t="inlineStr">
        <is>
          <t>🚨 UNVIABLE</t>
        </is>
      </c>
      <c r="H16" s="8" t="inlineStr">
        <is>
          <t>Requires impossible 607% efficiency</t>
        </is>
      </c>
    </row>
    <row r="17"/>
    <row r="18">
      <c r="A18" s="4" t="inlineStr">
        <is>
          <t>2. Outturn Predictions &amp; P90 Risk Reserve</t>
        </is>
      </c>
    </row>
    <row r="19" ht="22" customHeight="1">
      <c r="A19" s="5" t="inlineStr">
        <is>
          <t>Scenario</t>
        </is>
      </c>
      <c r="B19" s="7" t="inlineStr">
        <is>
          <t>EAC Outturn ($)</t>
        </is>
      </c>
      <c r="C19" s="7" t="inlineStr">
        <is>
          <t>Variance at Completion (VAC)</t>
        </is>
      </c>
      <c r="D19" s="6" t="inlineStr">
        <is>
          <t>Completion Date</t>
        </is>
      </c>
      <c r="E19" s="6" t="inlineStr">
        <is>
          <t>Schedule Slip</t>
        </is>
      </c>
      <c r="F19" s="7" t="inlineStr">
        <is>
          <t>Risk Reserve Required ($)</t>
        </is>
      </c>
    </row>
    <row r="20" ht="20" customHeight="1">
      <c r="A20" s="8" t="inlineStr">
        <is>
          <t>Deterministic Base EAC</t>
        </is>
      </c>
      <c r="B20" s="10" t="n">
        <v>35413604</v>
      </c>
      <c r="C20" s="10">
        <f>26500000-B20</f>
        <v/>
      </c>
      <c r="D20" s="9" t="inlineStr">
        <is>
          <t>2027-01-31</t>
        </is>
      </c>
      <c r="E20" s="9" t="inlineStr">
        <is>
          <t>+31 Days</t>
        </is>
      </c>
      <c r="F20" s="10" t="n">
        <v>0</v>
      </c>
    </row>
    <row r="21" ht="20" customHeight="1">
      <c r="A21" s="8" t="inlineStr">
        <is>
          <t>Monte Carlo P50 Forecast</t>
        </is>
      </c>
      <c r="B21" s="10" t="n">
        <v>34060783</v>
      </c>
      <c r="C21" s="10">
        <f>26500000-B21</f>
        <v/>
      </c>
      <c r="D21" s="9" t="inlineStr">
        <is>
          <t>2027-02-27</t>
        </is>
      </c>
      <c r="E21" s="9" t="inlineStr">
        <is>
          <t>+57 Days</t>
        </is>
      </c>
      <c r="F21" s="10" t="n">
        <v>0</v>
      </c>
    </row>
    <row r="22" ht="20" customHeight="1">
      <c r="A22" s="15" t="inlineStr">
        <is>
          <t>Monte Carlo P90 Risk Ceiling</t>
        </is>
      </c>
      <c r="B22" s="16" t="n">
        <v>35815202</v>
      </c>
      <c r="C22" s="16">
        <f>26500000-B22</f>
        <v/>
      </c>
      <c r="D22" s="13" t="inlineStr">
        <is>
          <t>2027-03-14</t>
        </is>
      </c>
      <c r="E22" s="13" t="inlineStr">
        <is>
          <t>+72 Days</t>
        </is>
      </c>
      <c r="F22" s="16">
        <f>B22-B20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72" customWidth="1" min="1" max="1"/>
    <col width="23" customWidth="1" min="2" max="2"/>
    <col width="39" customWidth="1" min="3" max="3"/>
    <col width="24" customWidth="1" min="4" max="4"/>
    <col width="41" customWidth="1" min="5" max="5"/>
    <col width="26" customWidth="1" min="6" max="6"/>
    <col width="38" customWidth="1" min="7" max="7"/>
    <col width="48" customWidth="1" min="8" max="8"/>
  </cols>
  <sheetData>
    <row r="1" ht="28" customHeight="1">
      <c r="A1" s="1" t="inlineStr">
        <is>
          <t xml:space="preserve">  Monthly Cash Burn Speed &amp; Budget Depletion Forecast</t>
        </is>
      </c>
    </row>
    <row r="2" ht="18" customHeight="1">
      <c r="A2" s="2" t="inlineStr">
        <is>
          <t xml:space="preserve">  Exact BAC Budget Exhaustion Point: Month 9 (September 2026)</t>
        </is>
      </c>
    </row>
    <row r="3"/>
    <row r="4">
      <c r="A4" s="17" t="inlineStr">
        <is>
          <t>AVG MONTHLY CASH BURN</t>
        </is>
      </c>
      <c r="B4" s="18" t="n"/>
      <c r="C4" s="19" t="inlineStr">
        <is>
          <t>REMAINING BASELINE CAPITAL</t>
        </is>
      </c>
      <c r="D4" s="20" t="n"/>
      <c r="E4" s="17" t="inlineStr">
        <is>
          <t>BUDGET BURN OUT MONTH</t>
        </is>
      </c>
      <c r="F4" s="18" t="n"/>
      <c r="G4" s="17" t="inlineStr">
        <is>
          <t>REQUIRED OVERRUN FINANCING</t>
        </is>
      </c>
      <c r="H4" s="18" t="n"/>
    </row>
    <row r="5">
      <c r="A5" s="21" t="n">
        <v>2930000</v>
      </c>
      <c r="B5" s="18" t="n"/>
      <c r="C5" s="22" t="n">
        <v>3060000</v>
      </c>
      <c r="D5" s="20" t="n"/>
      <c r="E5" s="13" t="inlineStr">
        <is>
          <t>Month 9 (Sep 2026)</t>
        </is>
      </c>
      <c r="F5" s="18" t="n"/>
      <c r="G5" s="21" t="n">
        <v>8913604</v>
      </c>
      <c r="H5" s="18" t="n"/>
    </row>
    <row r="6">
      <c r="A6" s="17" t="inlineStr">
        <is>
          <t>Baseline Plan: $2.56M/Month (+14.5% faster)</t>
        </is>
      </c>
      <c r="B6" s="18" t="n"/>
      <c r="C6" s="19" t="inlineStr">
        <is>
          <t>$23.44M spent of $26.50M BAC budget</t>
        </is>
      </c>
      <c r="D6" s="20" t="n"/>
      <c r="E6" s="17" t="inlineStr">
        <is>
          <t>100% of $BAC budget ceiling exhausted</t>
        </is>
      </c>
      <c r="F6" s="18" t="n"/>
      <c r="G6" s="17" t="inlineStr">
        <is>
          <t>Needs approval before Sep 15, 2026</t>
        </is>
      </c>
      <c r="H6" s="18" t="n"/>
    </row>
    <row r="7"/>
    <row r="8">
      <c r="A8" s="4" t="inlineStr">
        <is>
          <t>Monthly Cash Burn Speed ($PV, $EV, $AC) &amp; Budget Exhaustion Schedule</t>
        </is>
      </c>
    </row>
    <row r="9" ht="24" customHeight="1">
      <c r="A9" s="6" t="inlineStr">
        <is>
          <t>Month #</t>
        </is>
      </c>
      <c r="B9" s="6" t="inlineStr">
        <is>
          <t>Calendar Month</t>
        </is>
      </c>
      <c r="C9" s="7" t="inlineStr">
        <is>
          <t>Planned Monthly ($PV)</t>
        </is>
      </c>
      <c r="D9" s="7" t="inlineStr">
        <is>
          <t>Earned Monthly ($EV)</t>
        </is>
      </c>
      <c r="E9" s="7" t="inlineStr">
        <is>
          <t>Actual Monthly ($AC)</t>
        </is>
      </c>
      <c r="F9" s="7" t="inlineStr">
        <is>
          <t>Cumulative Spend ($AC)</t>
        </is>
      </c>
      <c r="G9" s="7" t="inlineStr">
        <is>
          <t>Remaining Capital ($BAC - AC)</t>
        </is>
      </c>
      <c r="H9" s="5" t="inlineStr">
        <is>
          <t>Runway Status &amp; Depletion Note</t>
        </is>
      </c>
    </row>
    <row r="10" ht="20" customHeight="1">
      <c r="A10" s="9" t="n">
        <v>1</v>
      </c>
      <c r="B10" s="9" t="inlineStr">
        <is>
          <t>Month 1 (Jan 2026)</t>
        </is>
      </c>
      <c r="C10" s="10" t="n">
        <v>300000</v>
      </c>
      <c r="D10" s="10" t="n">
        <v>300000</v>
      </c>
      <c r="E10" s="10" t="n">
        <v>320000</v>
      </c>
      <c r="F10" s="10">
        <f>E10</f>
        <v/>
      </c>
      <c r="G10" s="10">
        <f>26500000-F10</f>
        <v/>
      </c>
      <c r="H10" s="8" t="inlineStr">
        <is>
          <t>Detail steel engineering ramp-up</t>
        </is>
      </c>
    </row>
    <row r="11" ht="20" customHeight="1">
      <c r="A11" s="9" t="n">
        <v>2</v>
      </c>
      <c r="B11" s="9" t="inlineStr">
        <is>
          <t>Month 2 (Feb 2026)</t>
        </is>
      </c>
      <c r="C11" s="10" t="n">
        <v>900000</v>
      </c>
      <c r="D11" s="10" t="n">
        <v>840000</v>
      </c>
      <c r="E11" s="10" t="n">
        <v>950000</v>
      </c>
      <c r="F11" s="10">
        <f>F10+E11</f>
        <v/>
      </c>
      <c r="G11" s="10">
        <f>26500000-F11</f>
        <v/>
      </c>
      <c r="H11" s="8" t="inlineStr">
        <is>
          <t>Engineering completed on baseline</t>
        </is>
      </c>
    </row>
    <row r="12" ht="20" customHeight="1">
      <c r="A12" s="9" t="n">
        <v>3</v>
      </c>
      <c r="B12" s="9" t="inlineStr">
        <is>
          <t>Month 3 (Mar 2026)</t>
        </is>
      </c>
      <c r="C12" s="10" t="n">
        <v>2700000</v>
      </c>
      <c r="D12" s="10" t="n">
        <v>2260000</v>
      </c>
      <c r="E12" s="10" t="n">
        <v>2900000</v>
      </c>
      <c r="F12" s="10">
        <f>F11+E12</f>
        <v/>
      </c>
      <c r="G12" s="10">
        <f>26500000-F12</f>
        <v/>
      </c>
      <c r="H12" s="8" t="inlineStr">
        <is>
          <t>Procurement placement delays</t>
        </is>
      </c>
    </row>
    <row r="13" ht="20" customHeight="1">
      <c r="A13" s="9" t="n">
        <v>4</v>
      </c>
      <c r="B13" s="9" t="inlineStr">
        <is>
          <t>Month 4 (Apr 2026)</t>
        </is>
      </c>
      <c r="C13" s="10" t="n">
        <v>3800000</v>
      </c>
      <c r="D13" s="10" t="n">
        <v>3520000</v>
      </c>
      <c r="E13" s="10" t="n">
        <v>4050000</v>
      </c>
      <c r="F13" s="10">
        <f>F12+E13</f>
        <v/>
      </c>
      <c r="G13" s="10">
        <f>26500000-F13</f>
        <v/>
      </c>
      <c r="H13" s="8" t="inlineStr">
        <is>
          <t>Verdal yard sub-structure start</t>
        </is>
      </c>
    </row>
    <row r="14" ht="20" customHeight="1">
      <c r="A14" s="9" t="n">
        <v>5</v>
      </c>
      <c r="B14" s="9" t="inlineStr">
        <is>
          <t>Month 5 (May 2026)</t>
        </is>
      </c>
      <c r="C14" s="10" t="n">
        <v>3000000</v>
      </c>
      <c r="D14" s="10" t="n">
        <v>2900000</v>
      </c>
      <c r="E14" s="10" t="n">
        <v>3220000</v>
      </c>
      <c r="F14" s="10">
        <f>F13+E14</f>
        <v/>
      </c>
      <c r="G14" s="10">
        <f>26500000-F14</f>
        <v/>
      </c>
      <c r="H14" s="8" t="inlineStr">
        <is>
          <t>Sub-structure assembly</t>
        </is>
      </c>
    </row>
    <row r="15" ht="20" customHeight="1">
      <c r="A15" s="9" t="n">
        <v>6</v>
      </c>
      <c r="B15" s="9" t="inlineStr">
        <is>
          <t>Month 6 (Jun 2026)</t>
        </is>
      </c>
      <c r="C15" s="10" t="n">
        <v>4000000</v>
      </c>
      <c r="D15" s="10" t="n">
        <v>2750000</v>
      </c>
      <c r="E15" s="10" t="n">
        <v>4450000</v>
      </c>
      <c r="F15" s="10">
        <f>F14+E15</f>
        <v/>
      </c>
      <c r="G15" s="10">
        <f>26500000-F15</f>
        <v/>
      </c>
      <c r="H15" s="8" t="inlineStr">
        <is>
          <t>Egersund mast fitting misalignment rework</t>
        </is>
      </c>
    </row>
    <row r="16" ht="20" customHeight="1">
      <c r="A16" s="9" t="n">
        <v>7</v>
      </c>
      <c r="B16" s="9" t="inlineStr">
        <is>
          <t>Month 7 (Jul 2026)</t>
        </is>
      </c>
      <c r="C16" s="10" t="n">
        <v>3000000</v>
      </c>
      <c r="D16" s="10" t="n">
        <v>2620000</v>
      </c>
      <c r="E16" s="10" t="n">
        <v>3850000</v>
      </c>
      <c r="F16" s="10">
        <f>F15+E16</f>
        <v/>
      </c>
      <c r="G16" s="10">
        <f>26500000-F16</f>
        <v/>
      </c>
      <c r="H16" s="8" t="inlineStr">
        <is>
          <t>Double-shift NDT welding labor</t>
        </is>
      </c>
    </row>
    <row r="17" ht="20" customHeight="1">
      <c r="A17" s="9" t="n">
        <v>8</v>
      </c>
      <c r="B17" s="9" t="inlineStr">
        <is>
          <t>Month 8 (Aug 2026)</t>
        </is>
      </c>
      <c r="C17" s="10" t="n">
        <v>2800000</v>
      </c>
      <c r="D17" s="10" t="n">
        <v>2350000</v>
      </c>
      <c r="E17" s="10" t="n">
        <v>3700000</v>
      </c>
      <c r="F17" s="10">
        <f>F16+E17</f>
        <v/>
      </c>
      <c r="G17" s="10">
        <f>26500000-F17</f>
        <v/>
      </c>
      <c r="H17" s="8" t="inlineStr">
        <is>
          <t>Status Date: $23.44M cumulative actual spend</t>
        </is>
      </c>
    </row>
    <row r="18" ht="20" customHeight="1">
      <c r="A18" s="13" t="n">
        <v>9</v>
      </c>
      <c r="B18" s="13" t="inlineStr">
        <is>
          <t>Month 9 (Sep 2026)</t>
        </is>
      </c>
      <c r="C18" s="16" t="n">
        <v>2500000</v>
      </c>
      <c r="D18" s="16" t="n">
        <v>2100000</v>
      </c>
      <c r="E18" s="16" t="n">
        <v>3200000</v>
      </c>
      <c r="F18" s="16">
        <f>F17+E18</f>
        <v/>
      </c>
      <c r="G18" s="16">
        <f>26500000-F18</f>
        <v/>
      </c>
      <c r="H18" s="15" t="inlineStr">
        <is>
          <t>💥 100% BAC Budget Exhausted (Burn Out)</t>
        </is>
      </c>
    </row>
    <row r="19" ht="20" customHeight="1">
      <c r="A19" s="9" t="n">
        <v>10</v>
      </c>
      <c r="B19" s="9" t="inlineStr">
        <is>
          <t>Month 10 (Oct 2026)</t>
        </is>
      </c>
      <c r="C19" s="10" t="n">
        <v>1500000</v>
      </c>
      <c r="D19" s="10" t="n">
        <v>2200000</v>
      </c>
      <c r="E19" s="10" t="n">
        <v>3300000</v>
      </c>
      <c r="F19" s="10">
        <f>F18+E19</f>
        <v/>
      </c>
      <c r="G19" s="10">
        <f>26500000-F19</f>
        <v/>
      </c>
      <c r="H19" s="8" t="inlineStr">
        <is>
          <t>Overrun Financing Phase (Heerema Marine)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56" customWidth="1" min="1" max="1"/>
    <col width="44" customWidth="1" min="2" max="2"/>
    <col width="21" customWidth="1" min="3" max="3"/>
    <col width="24" customWidth="1" min="4" max="4"/>
    <col width="25" customWidth="1" min="5" max="5"/>
    <col width="63" customWidth="1" min="6" max="6"/>
    <col width="12" customWidth="1" min="7" max="7"/>
    <col width="12" customWidth="1" min="8" max="8"/>
  </cols>
  <sheetData>
    <row r="1" ht="28" customHeight="1">
      <c r="A1" s="1" t="inlineStr">
        <is>
          <t xml:space="preserve">  Cost Variance Waterfall Bridge ($BAC → EAC Outturn Breakdown)</t>
        </is>
      </c>
    </row>
    <row r="2" ht="18" customHeight="1">
      <c r="A2" s="2" t="inlineStr">
        <is>
          <t xml:space="preserve">  Step-by-Step Cost Variance Drivers from Baseline to Outturn Forecast</t>
        </is>
      </c>
    </row>
    <row r="3"/>
    <row r="4">
      <c r="A4" s="4" t="inlineStr">
        <is>
          <t>Step-by-Step Variance Bridge per WBS Control Account</t>
        </is>
      </c>
    </row>
    <row r="5" ht="24" customHeight="1">
      <c r="A5" s="6" t="inlineStr">
        <is>
          <t>Step #</t>
        </is>
      </c>
      <c r="B5" s="5" t="inlineStr">
        <is>
          <t>WBS Control Account / Driver</t>
        </is>
      </c>
      <c r="C5" s="7" t="inlineStr">
        <is>
          <t>Step Variance ($)</t>
        </is>
      </c>
      <c r="D5" s="7" t="inlineStr">
        <is>
          <t>Cumulative Total ($)</t>
        </is>
      </c>
      <c r="E5" s="6" t="inlineStr">
        <is>
          <t>Variance Category</t>
        </is>
      </c>
      <c r="F5" s="5" t="inlineStr">
        <is>
          <t>Root Cause Driver Explanation</t>
        </is>
      </c>
    </row>
    <row r="6" ht="20" customHeight="1">
      <c r="A6" s="9" t="n">
        <v>0</v>
      </c>
      <c r="B6" s="8" t="inlineStr">
        <is>
          <t>Approved Baseline Budget ($BAC)</t>
        </is>
      </c>
      <c r="C6" s="10" t="n">
        <v>26500000</v>
      </c>
      <c r="D6" s="10">
        <f>C6</f>
        <v/>
      </c>
      <c r="E6" s="9" t="inlineStr">
        <is>
          <t>Baseline Target</t>
        </is>
      </c>
      <c r="F6" s="8" t="inlineStr">
        <is>
          <t>Approved original contract baseline budget</t>
        </is>
      </c>
    </row>
    <row r="7" ht="20" customHeight="1">
      <c r="A7" s="9" t="n">
        <v>1</v>
      </c>
      <c r="B7" s="8" t="inlineStr">
        <is>
          <t>WBS 1.1 Detail Engineering</t>
        </is>
      </c>
      <c r="C7" s="10" t="n">
        <v>300000</v>
      </c>
      <c r="D7" s="10">
        <f>D6+C7</f>
        <v/>
      </c>
      <c r="E7" s="9" t="inlineStr">
        <is>
          <t>Scope Rework</t>
        </is>
      </c>
      <c r="F7" s="8" t="inlineStr">
        <is>
          <t>Minor drafting revision hours</t>
        </is>
      </c>
    </row>
    <row r="8" ht="20" customHeight="1">
      <c r="A8" s="9" t="n">
        <v>2</v>
      </c>
      <c r="B8" s="8" t="inlineStr">
        <is>
          <t>WBS 1.2 Procurement</t>
        </is>
      </c>
      <c r="C8" s="10" t="n">
        <v>600000</v>
      </c>
      <c r="D8" s="10">
        <f>D7+C8</f>
        <v/>
      </c>
      <c r="E8" s="9" t="inlineStr">
        <is>
          <t>Material Inflation</t>
        </is>
      </c>
      <c r="F8" s="8" t="inlineStr">
        <is>
          <t>High-grade tubular steel market price surge</t>
        </is>
      </c>
    </row>
    <row r="9" ht="20" customHeight="1">
      <c r="A9" s="9" t="n">
        <v>3</v>
      </c>
      <c r="B9" s="8" t="inlineStr">
        <is>
          <t>WBS 1.3.1 Verdal Yard Fabrication</t>
        </is>
      </c>
      <c r="C9" s="10" t="n">
        <v>200000</v>
      </c>
      <c r="D9" s="10">
        <f>D8+C9</f>
        <v/>
      </c>
      <c r="E9" s="9" t="inlineStr">
        <is>
          <t>Yard Overtime</t>
        </is>
      </c>
      <c r="F9" s="8" t="inlineStr">
        <is>
          <t>Welder shift overtime</t>
        </is>
      </c>
    </row>
    <row r="10" ht="20" customHeight="1">
      <c r="A10" s="13" t="n">
        <v>4</v>
      </c>
      <c r="B10" s="15" t="inlineStr">
        <is>
          <t>WBS 1.3.2 Egersund Mast Assembly</t>
        </is>
      </c>
      <c r="C10" s="16" t="n">
        <v>2400000</v>
      </c>
      <c r="D10" s="16">
        <f>D9+C10</f>
        <v/>
      </c>
      <c r="E10" s="13" t="inlineStr">
        <is>
          <t>Primary Rework Driver</t>
        </is>
      </c>
      <c r="F10" s="15" t="inlineStr">
        <is>
          <t>Pipe fitting misalignment &amp; 24/7 NDT welding</t>
        </is>
      </c>
    </row>
    <row r="11" ht="20" customHeight="1">
      <c r="A11" s="9" t="n">
        <v>5</v>
      </c>
      <c r="B11" s="8" t="inlineStr">
        <is>
          <t>WBS 1.4.1 Heavy Lift Vessel Mobilization</t>
        </is>
      </c>
      <c r="C11" s="10" t="n">
        <v>1300000</v>
      </c>
      <c r="D11" s="10">
        <f>D10+C11</f>
        <v/>
      </c>
      <c r="E11" s="9" t="inlineStr">
        <is>
          <t>Marine Standby</t>
        </is>
      </c>
      <c r="F11" s="8" t="inlineStr">
        <is>
          <t>Autumn sea-state vessel standby daily rates</t>
        </is>
      </c>
    </row>
    <row r="12" ht="20" customHeight="1">
      <c r="A12" s="9" t="n">
        <v>6</v>
      </c>
      <c r="B12" s="8" t="inlineStr">
        <is>
          <t>WBS 1.4.2 Topside Mating</t>
        </is>
      </c>
      <c r="C12" s="10" t="n">
        <v>100000</v>
      </c>
      <c r="D12" s="10">
        <f>D11+C12</f>
        <v/>
      </c>
      <c r="E12" s="9" t="inlineStr">
        <is>
          <t>Offshore Fit</t>
        </is>
      </c>
      <c r="F12" s="8" t="inlineStr">
        <is>
          <t>Offshore trial fitting hours</t>
        </is>
      </c>
    </row>
    <row r="13" ht="20" customHeight="1">
      <c r="A13" s="9" t="n">
        <v>7</v>
      </c>
      <c r="B13" s="8" t="inlineStr">
        <is>
          <t>WBS 1.5 Commissioning &amp; Hook-up</t>
        </is>
      </c>
      <c r="C13" s="10" t="n">
        <v>200000</v>
      </c>
      <c r="D13" s="10">
        <f>D12+C13</f>
        <v/>
      </c>
      <c r="E13" s="9" t="inlineStr">
        <is>
          <t>System Test</t>
        </is>
      </c>
      <c r="F13" s="8" t="inlineStr">
        <is>
          <t>Pre-commissioning loops</t>
        </is>
      </c>
    </row>
    <row r="14" ht="20" customHeight="1">
      <c r="A14" s="23" t="n">
        <v>8</v>
      </c>
      <c r="B14" s="24" t="inlineStr">
        <is>
          <t>Time Delay Overhead Spread (SPIt)</t>
        </is>
      </c>
      <c r="C14" s="25" t="n">
        <v>3813604</v>
      </c>
      <c r="D14" s="25">
        <f>D13+C14</f>
        <v/>
      </c>
      <c r="E14" s="23" t="inlineStr">
        <is>
          <t>Schedule Overhead</t>
        </is>
      </c>
      <c r="F14" s="24" t="inlineStr">
        <is>
          <t>Extending execution past Dec 31 spreads PMO &amp; site overhead</t>
        </is>
      </c>
    </row>
    <row r="15" ht="20" customHeight="1">
      <c r="A15" s="26" t="n">
        <v>9</v>
      </c>
      <c r="B15" s="27" t="inlineStr">
        <is>
          <t>Final Outturn Forecast ($EAC)</t>
        </is>
      </c>
      <c r="C15" s="28" t="n">
        <v>0</v>
      </c>
      <c r="D15" s="28">
        <f>D14</f>
        <v/>
      </c>
      <c r="E15" s="26" t="inlineStr">
        <is>
          <t>Total EAC Outturn</t>
        </is>
      </c>
      <c r="F15" s="27" t="inlineStr">
        <is>
          <t>Total Outturn Deficit: +$8.91M VAC (-33.6%)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 outlineLevelCol="0"/>
  <cols>
    <col width="69" customWidth="1" min="1" max="1"/>
    <col width="21" customWidth="1" min="2" max="2"/>
    <col width="23" customWidth="1" min="3" max="3"/>
    <col width="22" customWidth="1" min="4" max="4"/>
    <col width="21" customWidth="1" min="5" max="5"/>
    <col width="23" customWidth="1" min="6" max="6"/>
    <col width="27" customWidth="1" min="7" max="7"/>
    <col width="13" customWidth="1" min="8" max="8"/>
    <col width="13" customWidth="1" min="9" max="9"/>
    <col width="23" customWidth="1" min="10" max="10"/>
  </cols>
  <sheetData>
    <row r="1" ht="28" customHeight="1">
      <c r="A1" s="1" t="inlineStr">
        <is>
          <t xml:space="preserve">  Performance Measurement Baseline (S-Curves) &amp; Cumulative EVM</t>
        </is>
      </c>
    </row>
    <row r="2" ht="18" customHeight="1">
      <c r="A2" s="2" t="inlineStr">
        <is>
          <t xml:space="preserve">  Direct Endpoint Metrics, Cost Variance &amp; Time Slippage Analysis</t>
        </is>
      </c>
    </row>
    <row r="3"/>
    <row r="4">
      <c r="A4" s="4" t="inlineStr">
        <is>
          <t>Monthly Cumulative Performance Measurement Baseline (PMB S-Curve)</t>
        </is>
      </c>
    </row>
    <row r="5" ht="24" customHeight="1">
      <c r="A5" s="6" t="inlineStr">
        <is>
          <t>Month #</t>
        </is>
      </c>
      <c r="B5" s="6" t="inlineStr">
        <is>
          <t>Month Name</t>
        </is>
      </c>
      <c r="C5" s="7" t="inlineStr">
        <is>
          <t>Planned Value ($PV)</t>
        </is>
      </c>
      <c r="D5" s="7" t="inlineStr">
        <is>
          <t>Earned Value ($EV)</t>
        </is>
      </c>
      <c r="E5" s="7" t="inlineStr">
        <is>
          <t>Actual Cost ($AC)</t>
        </is>
      </c>
      <c r="F5" s="7" t="inlineStr">
        <is>
          <t>Cost Variance ($CV)</t>
        </is>
      </c>
      <c r="G5" s="7" t="inlineStr">
        <is>
          <t>Schedule Variance ($SV)</t>
        </is>
      </c>
      <c r="H5" s="7" t="inlineStr">
        <is>
          <t>CPI Index</t>
        </is>
      </c>
      <c r="I5" s="7" t="inlineStr">
        <is>
          <t>SPI Index</t>
        </is>
      </c>
      <c r="J5" s="7" t="inlineStr">
        <is>
          <t>Critical Ratio (CR)</t>
        </is>
      </c>
    </row>
    <row r="6" ht="20" customHeight="1">
      <c r="A6" s="9" t="n">
        <v>1</v>
      </c>
      <c r="B6" s="9" t="inlineStr">
        <is>
          <t>Jan 2026</t>
        </is>
      </c>
      <c r="C6" s="10" t="n">
        <v>300000</v>
      </c>
      <c r="D6" s="10" t="n">
        <v>300000</v>
      </c>
      <c r="E6" s="10" t="n">
        <v>320000</v>
      </c>
      <c r="F6" s="10">
        <f>D6-E6</f>
        <v/>
      </c>
      <c r="G6" s="10">
        <f>D6-C6</f>
        <v/>
      </c>
      <c r="H6" s="11">
        <f>D6/E6</f>
        <v/>
      </c>
      <c r="I6" s="11">
        <f>D6/C6</f>
        <v/>
      </c>
      <c r="J6" s="11">
        <f>H6*I6</f>
        <v/>
      </c>
    </row>
    <row r="7" ht="20" customHeight="1">
      <c r="A7" s="9" t="n">
        <v>2</v>
      </c>
      <c r="B7" s="9" t="inlineStr">
        <is>
          <t>Feb 2026</t>
        </is>
      </c>
      <c r="C7" s="10" t="n">
        <v>1200000</v>
      </c>
      <c r="D7" s="10" t="n">
        <v>1140000</v>
      </c>
      <c r="E7" s="10" t="n">
        <v>1270000</v>
      </c>
      <c r="F7" s="10">
        <f>D7-E7</f>
        <v/>
      </c>
      <c r="G7" s="10">
        <f>D7-C7</f>
        <v/>
      </c>
      <c r="H7" s="11">
        <f>D7/E7</f>
        <v/>
      </c>
      <c r="I7" s="11">
        <f>D7/C7</f>
        <v/>
      </c>
      <c r="J7" s="11">
        <f>H7*I7</f>
        <v/>
      </c>
    </row>
    <row r="8" ht="20" customHeight="1">
      <c r="A8" s="9" t="n">
        <v>3</v>
      </c>
      <c r="B8" s="9" t="inlineStr">
        <is>
          <t>Mar 2026</t>
        </is>
      </c>
      <c r="C8" s="10" t="n">
        <v>3900000</v>
      </c>
      <c r="D8" s="10" t="n">
        <v>3400000</v>
      </c>
      <c r="E8" s="10" t="n">
        <v>4170000</v>
      </c>
      <c r="F8" s="10">
        <f>D8-E8</f>
        <v/>
      </c>
      <c r="G8" s="10">
        <f>D8-C8</f>
        <v/>
      </c>
      <c r="H8" s="11">
        <f>D8/E8</f>
        <v/>
      </c>
      <c r="I8" s="11">
        <f>D8/C8</f>
        <v/>
      </c>
      <c r="J8" s="11">
        <f>H8*I8</f>
        <v/>
      </c>
    </row>
    <row r="9" ht="20" customHeight="1">
      <c r="A9" s="9" t="n">
        <v>4</v>
      </c>
      <c r="B9" s="9" t="inlineStr">
        <is>
          <t>Apr 2026</t>
        </is>
      </c>
      <c r="C9" s="10" t="n">
        <v>7700000</v>
      </c>
      <c r="D9" s="10" t="n">
        <v>6920000</v>
      </c>
      <c r="E9" s="10" t="n">
        <v>8220000</v>
      </c>
      <c r="F9" s="10">
        <f>D9-E9</f>
        <v/>
      </c>
      <c r="G9" s="10">
        <f>D9-C9</f>
        <v/>
      </c>
      <c r="H9" s="11">
        <f>D9/E9</f>
        <v/>
      </c>
      <c r="I9" s="11">
        <f>D9/C9</f>
        <v/>
      </c>
      <c r="J9" s="11">
        <f>H9*I9</f>
        <v/>
      </c>
    </row>
    <row r="10" ht="20" customHeight="1">
      <c r="A10" s="9" t="n">
        <v>5</v>
      </c>
      <c r="B10" s="9" t="inlineStr">
        <is>
          <t>May 2026</t>
        </is>
      </c>
      <c r="C10" s="10" t="n">
        <v>10700000</v>
      </c>
      <c r="D10" s="10" t="n">
        <v>9820000</v>
      </c>
      <c r="E10" s="10" t="n">
        <v>11440000</v>
      </c>
      <c r="F10" s="10">
        <f>D10-E10</f>
        <v/>
      </c>
      <c r="G10" s="10">
        <f>D10-C10</f>
        <v/>
      </c>
      <c r="H10" s="11">
        <f>D10/E10</f>
        <v/>
      </c>
      <c r="I10" s="11">
        <f>D10/C10</f>
        <v/>
      </c>
      <c r="J10" s="11">
        <f>H10*I10</f>
        <v/>
      </c>
    </row>
    <row r="11" ht="20" customHeight="1">
      <c r="A11" s="9" t="n">
        <v>6</v>
      </c>
      <c r="B11" s="9" t="inlineStr">
        <is>
          <t>Jun 2026</t>
        </is>
      </c>
      <c r="C11" s="10" t="n">
        <v>14700000</v>
      </c>
      <c r="D11" s="10" t="n">
        <v>12570000</v>
      </c>
      <c r="E11" s="10" t="n">
        <v>15890000</v>
      </c>
      <c r="F11" s="10">
        <f>D11-E11</f>
        <v/>
      </c>
      <c r="G11" s="10">
        <f>D11-C11</f>
        <v/>
      </c>
      <c r="H11" s="11">
        <f>D11/E11</f>
        <v/>
      </c>
      <c r="I11" s="11">
        <f>D11/C11</f>
        <v/>
      </c>
      <c r="J11" s="11">
        <f>H11*I11</f>
        <v/>
      </c>
    </row>
    <row r="12" ht="20" customHeight="1">
      <c r="A12" s="9" t="n">
        <v>7</v>
      </c>
      <c r="B12" s="9" t="inlineStr">
        <is>
          <t>Jul 2026</t>
        </is>
      </c>
      <c r="C12" s="10" t="n">
        <v>17700000</v>
      </c>
      <c r="D12" s="10" t="n">
        <v>15190000</v>
      </c>
      <c r="E12" s="10" t="n">
        <v>19740000</v>
      </c>
      <c r="F12" s="10">
        <f>D12-E12</f>
        <v/>
      </c>
      <c r="G12" s="10">
        <f>D12-C12</f>
        <v/>
      </c>
      <c r="H12" s="11">
        <f>D12/E12</f>
        <v/>
      </c>
      <c r="I12" s="11">
        <f>D12/C12</f>
        <v/>
      </c>
      <c r="J12" s="11">
        <f>H12*I12</f>
        <v/>
      </c>
    </row>
    <row r="13" ht="20" customHeight="1">
      <c r="A13" s="9" t="n">
        <v>8</v>
      </c>
      <c r="B13" s="9" t="inlineStr">
        <is>
          <t>Aug 2026 (Status)</t>
        </is>
      </c>
      <c r="C13" s="10" t="n">
        <v>20500000</v>
      </c>
      <c r="D13" s="10" t="n">
        <v>17540000</v>
      </c>
      <c r="E13" s="10" t="n">
        <v>23440000</v>
      </c>
      <c r="F13" s="16">
        <f>D13-E13</f>
        <v/>
      </c>
      <c r="G13" s="29">
        <f>D13-C13</f>
        <v/>
      </c>
      <c r="H13" s="30">
        <f>D13/E13</f>
        <v/>
      </c>
      <c r="I13" s="31">
        <f>D13/C13</f>
        <v/>
      </c>
      <c r="J13" s="11">
        <f>H13*I13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43" customWidth="1" min="2" max="2"/>
    <col width="26" customWidth="1" min="3" max="3"/>
    <col width="22" customWidth="1" min="4" max="4"/>
    <col width="21" customWidth="1" min="5" max="5"/>
    <col width="23" customWidth="1" min="6" max="6"/>
    <col width="13" customWidth="1" min="7" max="7"/>
    <col width="27" customWidth="1" min="8" max="8"/>
    <col width="26" customWidth="1" min="9" max="9"/>
    <col width="30" customWidth="1" min="10" max="10"/>
  </cols>
  <sheetData>
    <row r="1" ht="28" customHeight="1">
      <c r="A1" s="1" t="inlineStr">
        <is>
          <t xml:space="preserve">  CFO Control Account Financials &amp; Outturn Forecast</t>
        </is>
      </c>
    </row>
    <row r="2" ht="18" customHeight="1">
      <c r="A2" s="2" t="inlineStr">
        <is>
          <t xml:space="preserve">  Control Account Level EAC Outturns, Cost Variances &amp; Remaining ETC Liquidity</t>
        </is>
      </c>
    </row>
    <row r="3"/>
    <row r="4">
      <c r="A4" s="4" t="inlineStr">
        <is>
          <t>Control Account Financial Performance &amp; Liquidity Target</t>
        </is>
      </c>
    </row>
    <row r="5" ht="24" customHeight="1">
      <c r="A5" s="6" t="inlineStr">
        <is>
          <t>WBS Code</t>
        </is>
      </c>
      <c r="B5" s="5" t="inlineStr">
        <is>
          <t>Control Account Name</t>
        </is>
      </c>
      <c r="C5" s="7" t="inlineStr">
        <is>
          <t>Baseline Budget ($BAC)</t>
        </is>
      </c>
      <c r="D5" s="7" t="inlineStr">
        <is>
          <t>Earned Value ($EV)</t>
        </is>
      </c>
      <c r="E5" s="7" t="inlineStr">
        <is>
          <t>Actual Cost ($AC)</t>
        </is>
      </c>
      <c r="F5" s="7" t="inlineStr">
        <is>
          <t>Cost Variance ($CV)</t>
        </is>
      </c>
      <c r="G5" s="6" t="inlineStr">
        <is>
          <t>CPI Index</t>
        </is>
      </c>
      <c r="H5" s="7" t="inlineStr">
        <is>
          <t>Outturn Forecast ($EAC)</t>
        </is>
      </c>
      <c r="I5" s="7" t="inlineStr">
        <is>
          <t>Outturn Deficit ($VAC)</t>
        </is>
      </c>
      <c r="J5" s="7" t="inlineStr">
        <is>
          <t>Remaining Liquidity ($ETC)</t>
        </is>
      </c>
    </row>
    <row r="6" ht="20" customHeight="1">
      <c r="A6" s="9" t="inlineStr">
        <is>
          <t>1.1.1</t>
        </is>
      </c>
      <c r="B6" s="8" t="inlineStr">
        <is>
          <t>Structural Steel Detail Engineering</t>
        </is>
      </c>
      <c r="C6" s="10" t="n">
        <v>1200000</v>
      </c>
      <c r="D6" s="10" t="n">
        <v>1200000</v>
      </c>
      <c r="E6" s="10" t="n">
        <v>1290000</v>
      </c>
      <c r="F6" s="10">
        <f>D6-E6</f>
        <v/>
      </c>
      <c r="G6" s="11">
        <f>D6/E6</f>
        <v/>
      </c>
      <c r="H6" s="10" t="n">
        <v>1290000</v>
      </c>
      <c r="I6" s="10">
        <f>C6-H6</f>
        <v/>
      </c>
      <c r="J6" s="10">
        <f>H6-E6</f>
        <v/>
      </c>
    </row>
    <row r="7" ht="20" customHeight="1">
      <c r="A7" s="9" t="inlineStr">
        <is>
          <t>1.2.1</t>
        </is>
      </c>
      <c r="B7" s="8" t="inlineStr">
        <is>
          <t>High-Grade Tubular Steel Procurement</t>
        </is>
      </c>
      <c r="C7" s="10" t="n">
        <v>3500000</v>
      </c>
      <c r="D7" s="10" t="n">
        <v>3500000</v>
      </c>
      <c r="E7" s="10" t="n">
        <v>3770000</v>
      </c>
      <c r="F7" s="10">
        <f>D7-E7</f>
        <v/>
      </c>
      <c r="G7" s="11">
        <f>D7/E7</f>
        <v/>
      </c>
      <c r="H7" s="10" t="n">
        <v>3770000</v>
      </c>
      <c r="I7" s="10">
        <f>C7-H7</f>
        <v/>
      </c>
      <c r="J7" s="10">
        <f>H7-E7</f>
        <v/>
      </c>
    </row>
    <row r="8" ht="20" customHeight="1">
      <c r="A8" s="9" t="inlineStr">
        <is>
          <t>1.3.1</t>
        </is>
      </c>
      <c r="B8" s="8" t="inlineStr">
        <is>
          <t>Yard Sub-Structure Fabrication (Verdal)</t>
        </is>
      </c>
      <c r="C8" s="10" t="n">
        <v>4000000</v>
      </c>
      <c r="D8" s="10" t="n">
        <v>3600000</v>
      </c>
      <c r="E8" s="10" t="n">
        <v>4450000</v>
      </c>
      <c r="F8" s="10">
        <f>D8-E8</f>
        <v/>
      </c>
      <c r="G8" s="11">
        <f>D8/E8</f>
        <v/>
      </c>
      <c r="H8" s="10" t="n">
        <v>4944000</v>
      </c>
      <c r="I8" s="10">
        <f>C8-H8</f>
        <v/>
      </c>
      <c r="J8" s="10">
        <f>H8-E8</f>
        <v/>
      </c>
    </row>
    <row r="9" ht="20" customHeight="1">
      <c r="A9" s="9" t="inlineStr">
        <is>
          <t>1.3.2</t>
        </is>
      </c>
      <c r="B9" s="8" t="inlineStr">
        <is>
          <t>Derrick Tower Mast Assembly (Egersund)</t>
        </is>
      </c>
      <c r="C9" s="10" t="n">
        <v>4800000</v>
      </c>
      <c r="D9" s="10" t="n">
        <v>3120000</v>
      </c>
      <c r="E9" s="10" t="n">
        <v>5450000</v>
      </c>
      <c r="F9" s="16">
        <f>D9-E9</f>
        <v/>
      </c>
      <c r="G9" s="11">
        <f>D9/E9</f>
        <v/>
      </c>
      <c r="H9" s="10" t="n">
        <v>8385000</v>
      </c>
      <c r="I9" s="16">
        <f>C9-H9</f>
        <v/>
      </c>
      <c r="J9" s="10">
        <f>H9-E9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2" customWidth="1" min="2" max="2"/>
    <col width="50" customWidth="1" min="3" max="3"/>
    <col width="15" customWidth="1" min="4" max="4"/>
    <col width="12" customWidth="1" min="5" max="5"/>
    <col width="15" customWidth="1" min="6" max="6"/>
    <col width="14" customWidth="1" min="7" max="7"/>
    <col width="19" customWidth="1" min="8" max="8"/>
    <col width="19" customWidth="1" min="9" max="9"/>
    <col width="22" customWidth="1" min="10" max="10"/>
  </cols>
  <sheetData>
    <row r="1" ht="28" customHeight="1">
      <c r="A1" s="1" t="inlineStr">
        <is>
          <t xml:space="preserve">  Offshore EPC Gantt Schedule &amp; Critical Path Logic</t>
        </is>
      </c>
    </row>
    <row r="2" ht="18" customHeight="1">
      <c r="A2" s="2" t="inlineStr">
        <is>
          <t xml:space="preserve">  10 Major Schedule Tasks, Predecessor Logic, Critical Path (8 Tasks) &amp; Key Milestones</t>
        </is>
      </c>
    </row>
    <row r="3"/>
    <row r="4">
      <c r="A4" s="4" t="inlineStr">
        <is>
          <t>EPC Schedule Master Activity &amp; Critical Path Register</t>
        </is>
      </c>
    </row>
    <row r="5" ht="24" customHeight="1">
      <c r="A5" s="6" t="inlineStr">
        <is>
          <t>Task ID</t>
        </is>
      </c>
      <c r="B5" s="6" t="inlineStr">
        <is>
          <t>WBS Code</t>
        </is>
      </c>
      <c r="C5" s="5" t="inlineStr">
        <is>
          <t>Task Deliverable / Milestone Name</t>
        </is>
      </c>
      <c r="D5" s="6" t="inlineStr">
        <is>
          <t>Predecessor</t>
        </is>
      </c>
      <c r="E5" s="6" t="inlineStr">
        <is>
          <t>Type</t>
        </is>
      </c>
      <c r="F5" s="6" t="inlineStr">
        <is>
          <t>Total Float</t>
        </is>
      </c>
      <c r="G5" s="6" t="inlineStr">
        <is>
          <t>% Complete</t>
        </is>
      </c>
      <c r="H5" s="6" t="inlineStr">
        <is>
          <t>Baseline Window</t>
        </is>
      </c>
      <c r="I5" s="6" t="inlineStr">
        <is>
          <t>Forecast Window</t>
        </is>
      </c>
      <c r="J5" s="6" t="inlineStr">
        <is>
          <t>Critical Path Flag</t>
        </is>
      </c>
    </row>
    <row r="6" ht="20" customHeight="1">
      <c r="A6" s="9" t="inlineStr">
        <is>
          <t>T101</t>
        </is>
      </c>
      <c r="B6" s="9" t="inlineStr">
        <is>
          <t>1.1.1</t>
        </is>
      </c>
      <c r="C6" s="8" t="inlineStr">
        <is>
          <t>Structural Steel Detail Engineering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0 Days</t>
        </is>
      </c>
      <c r="G6" s="32" t="n">
        <v>1</v>
      </c>
      <c r="H6" s="9" t="inlineStr">
        <is>
          <t>Jan 05 - Feb 28</t>
        </is>
      </c>
      <c r="I6" s="9" t="inlineStr">
        <is>
          <t>Jan 05 - Mar 15</t>
        </is>
      </c>
      <c r="J6" s="13" t="inlineStr">
        <is>
          <t>Yes</t>
        </is>
      </c>
    </row>
    <row r="7" ht="20" customHeight="1">
      <c r="A7" s="9" t="inlineStr">
        <is>
          <t>M1</t>
        </is>
      </c>
      <c r="B7" s="9" t="inlineStr">
        <is>
          <t>1.1.0</t>
        </is>
      </c>
      <c r="C7" s="8" t="inlineStr">
        <is>
          <t>◆ Milestone: Engineering AFC Gate Review</t>
        </is>
      </c>
      <c r="D7" s="9" t="inlineStr">
        <is>
          <t>T101</t>
        </is>
      </c>
      <c r="E7" s="9" t="inlineStr">
        <is>
          <t>FS</t>
        </is>
      </c>
      <c r="F7" s="9" t="inlineStr">
        <is>
          <t>0 Days</t>
        </is>
      </c>
      <c r="G7" s="32" t="n">
        <v>1</v>
      </c>
      <c r="H7" s="9" t="inlineStr">
        <is>
          <t>Feb 28</t>
        </is>
      </c>
      <c r="I7" s="9" t="inlineStr">
        <is>
          <t>Achieved Mar 15</t>
        </is>
      </c>
      <c r="J7" s="9" t="inlineStr">
        <is>
          <t>Achieved Gate</t>
        </is>
      </c>
    </row>
    <row r="8" ht="20" customHeight="1">
      <c r="A8" s="9" t="inlineStr">
        <is>
          <t>T102</t>
        </is>
      </c>
      <c r="B8" s="9" t="inlineStr">
        <is>
          <t>1.1.2</t>
        </is>
      </c>
      <c r="C8" s="8" t="inlineStr">
        <is>
          <t>Piping &amp; Drilling Package Design</t>
        </is>
      </c>
      <c r="D8" s="9" t="inlineStr">
        <is>
          <t>T101</t>
        </is>
      </c>
      <c r="E8" s="9" t="inlineStr">
        <is>
          <t>FS</t>
        </is>
      </c>
      <c r="F8" s="9" t="inlineStr">
        <is>
          <t>+14 Days</t>
        </is>
      </c>
      <c r="G8" s="32" t="n">
        <v>1</v>
      </c>
      <c r="H8" s="9" t="inlineStr">
        <is>
          <t>Feb 01 - Mar 31</t>
        </is>
      </c>
      <c r="I8" s="9" t="inlineStr">
        <is>
          <t>Feb 01 - Apr 15</t>
        </is>
      </c>
      <c r="J8" s="9" t="inlineStr">
        <is>
          <t>No</t>
        </is>
      </c>
    </row>
    <row r="9" ht="20" customHeight="1">
      <c r="A9" s="9" t="inlineStr">
        <is>
          <t>T103</t>
        </is>
      </c>
      <c r="B9" s="9" t="inlineStr">
        <is>
          <t>1.2.1</t>
        </is>
      </c>
      <c r="C9" s="8" t="inlineStr">
        <is>
          <t>High-Grade Tubular Steel Procurement</t>
        </is>
      </c>
      <c r="D9" s="9" t="inlineStr">
        <is>
          <t>T101 (+5D)</t>
        </is>
      </c>
      <c r="E9" s="9" t="inlineStr">
        <is>
          <t>FS</t>
        </is>
      </c>
      <c r="F9" s="9" t="inlineStr">
        <is>
          <t>0 Days</t>
        </is>
      </c>
      <c r="G9" s="32" t="n">
        <v>1</v>
      </c>
      <c r="H9" s="9" t="inlineStr">
        <is>
          <t>Mar 01 - Apr 30</t>
        </is>
      </c>
      <c r="I9" s="9" t="inlineStr">
        <is>
          <t>Mar 15 - May 31</t>
        </is>
      </c>
      <c r="J9" s="13" t="inlineStr">
        <is>
          <t>Yes (+31D Delay)</t>
        </is>
      </c>
    </row>
    <row r="10" ht="20" customHeight="1">
      <c r="A10" s="9" t="inlineStr">
        <is>
          <t>T104</t>
        </is>
      </c>
      <c r="B10" s="9" t="inlineStr">
        <is>
          <t>1.2.2</t>
        </is>
      </c>
      <c r="C10" s="8" t="inlineStr">
        <is>
          <t>Mud Pumps &amp; Top Drive Equipment</t>
        </is>
      </c>
      <c r="D10" s="9" t="inlineStr">
        <is>
          <t>T102</t>
        </is>
      </c>
      <c r="E10" s="9" t="inlineStr">
        <is>
          <t>FS</t>
        </is>
      </c>
      <c r="F10" s="9" t="inlineStr">
        <is>
          <t>+15 Days</t>
        </is>
      </c>
      <c r="G10" s="32" t="n">
        <v>0.85</v>
      </c>
      <c r="H10" s="9" t="inlineStr">
        <is>
          <t>Mar 15 - Jun 30</t>
        </is>
      </c>
      <c r="I10" s="9" t="inlineStr">
        <is>
          <t>Apr 01 - Jul 31</t>
        </is>
      </c>
      <c r="J10" s="9" t="inlineStr">
        <is>
          <t>No</t>
        </is>
      </c>
    </row>
    <row r="11" ht="20" customHeight="1">
      <c r="A11" s="9" t="inlineStr">
        <is>
          <t>T105</t>
        </is>
      </c>
      <c r="B11" s="9" t="inlineStr">
        <is>
          <t>1.3.1</t>
        </is>
      </c>
      <c r="C11" s="8" t="inlineStr">
        <is>
          <t>Yard Sub-Structure Fabrication (Verdal)</t>
        </is>
      </c>
      <c r="D11" s="9" t="inlineStr">
        <is>
          <t>T103</t>
        </is>
      </c>
      <c r="E11" s="9" t="inlineStr">
        <is>
          <t>FS</t>
        </is>
      </c>
      <c r="F11" s="9" t="inlineStr">
        <is>
          <t>0 Days</t>
        </is>
      </c>
      <c r="G11" s="32" t="n">
        <v>0.9</v>
      </c>
      <c r="H11" s="9" t="inlineStr">
        <is>
          <t>May 01 - Jul 31</t>
        </is>
      </c>
      <c r="I11" s="9" t="inlineStr">
        <is>
          <t>Jun 01 - Aug 31</t>
        </is>
      </c>
      <c r="J11" s="13" t="inlineStr">
        <is>
          <t>Yes</t>
        </is>
      </c>
    </row>
    <row r="12" ht="20" customHeight="1">
      <c r="A12" s="9" t="inlineStr">
        <is>
          <t>M3</t>
        </is>
      </c>
      <c r="B12" s="9" t="inlineStr">
        <is>
          <t>1.3.0</t>
        </is>
      </c>
      <c r="C12" s="8" t="inlineStr">
        <is>
          <t>◆ Milestone: Verdal Sub-Structure Handover</t>
        </is>
      </c>
      <c r="D12" s="9" t="inlineStr">
        <is>
          <t>T105</t>
        </is>
      </c>
      <c r="E12" s="9" t="inlineStr">
        <is>
          <t>FS</t>
        </is>
      </c>
      <c r="F12" s="9" t="inlineStr">
        <is>
          <t>0 Days</t>
        </is>
      </c>
      <c r="G12" s="32" t="n">
        <v>0.9</v>
      </c>
      <c r="H12" s="9" t="inlineStr">
        <is>
          <t>Jul 31</t>
        </is>
      </c>
      <c r="I12" s="9" t="inlineStr">
        <is>
          <t>Aug 31 Handover</t>
        </is>
      </c>
      <c r="J12" s="9" t="inlineStr">
        <is>
          <t>Active Gate</t>
        </is>
      </c>
    </row>
    <row r="13" ht="20" customHeight="1">
      <c r="A13" s="9" t="inlineStr">
        <is>
          <t>T106</t>
        </is>
      </c>
      <c r="B13" s="9" t="inlineStr">
        <is>
          <t>1.3.2</t>
        </is>
      </c>
      <c r="C13" s="8" t="inlineStr">
        <is>
          <t>Derrick Tower Mast Assembly (Egersund)</t>
        </is>
      </c>
      <c r="D13" s="9" t="inlineStr">
        <is>
          <t>T105</t>
        </is>
      </c>
      <c r="E13" s="9" t="inlineStr">
        <is>
          <t>FS</t>
        </is>
      </c>
      <c r="F13" s="9" t="inlineStr">
        <is>
          <t>0 Days</t>
        </is>
      </c>
      <c r="G13" s="32" t="n">
        <v>0.65</v>
      </c>
      <c r="H13" s="9" t="inlineStr">
        <is>
          <t>Jun 01 - Aug 31</t>
        </is>
      </c>
      <c r="I13" s="9" t="inlineStr">
        <is>
          <t>Jul 01 - Sep 30</t>
        </is>
      </c>
      <c r="J13" s="13" t="inlineStr">
        <is>
          <t>Yes (-30D Float)</t>
        </is>
      </c>
    </row>
    <row r="14" ht="20" customHeight="1">
      <c r="A14" s="9" t="inlineStr">
        <is>
          <t>M4</t>
        </is>
      </c>
      <c r="B14" s="9" t="inlineStr">
        <is>
          <t>1.3.3</t>
        </is>
      </c>
      <c r="C14" s="8" t="inlineStr">
        <is>
          <t>◆ Milestone: Derrick Mast Ready for Heavy Lift</t>
        </is>
      </c>
      <c r="D14" s="9" t="inlineStr">
        <is>
          <t>T106</t>
        </is>
      </c>
      <c r="E14" s="9" t="inlineStr">
        <is>
          <t>FS</t>
        </is>
      </c>
      <c r="F14" s="9" t="inlineStr">
        <is>
          <t>0 Days</t>
        </is>
      </c>
      <c r="G14" s="32" t="n">
        <v>0.65</v>
      </c>
      <c r="H14" s="9" t="inlineStr">
        <is>
          <t>Aug 31</t>
        </is>
      </c>
      <c r="I14" s="9" t="inlineStr">
        <is>
          <t>Sep 30 Target</t>
        </is>
      </c>
      <c r="J14" s="9" t="inlineStr">
        <is>
          <t>Critical Gate</t>
        </is>
      </c>
    </row>
    <row r="15" ht="20" customHeight="1">
      <c r="A15" s="9" t="inlineStr">
        <is>
          <t>T107</t>
        </is>
      </c>
      <c r="B15" s="9" t="inlineStr">
        <is>
          <t>1.4.1</t>
        </is>
      </c>
      <c r="C15" s="8" t="inlineStr">
        <is>
          <t>Heavy Lift Vessel Mobilization (Heerema)</t>
        </is>
      </c>
      <c r="D15" s="9" t="inlineStr">
        <is>
          <t>T106</t>
        </is>
      </c>
      <c r="E15" s="9" t="inlineStr">
        <is>
          <t>FS</t>
        </is>
      </c>
      <c r="F15" s="9" t="inlineStr">
        <is>
          <t>0 Days</t>
        </is>
      </c>
      <c r="G15" s="32" t="n">
        <v>0.3</v>
      </c>
      <c r="H15" s="9" t="inlineStr">
        <is>
          <t>Aug 15 - Sep 15</t>
        </is>
      </c>
      <c r="I15" s="9" t="inlineStr">
        <is>
          <t>Sep 15 - Oct 15</t>
        </is>
      </c>
      <c r="J15" s="13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2026-08-13T16:04:34Z</dcterms:created>
  <dcterms:modified xmlns:dcterms="http://purl.org/dc/terms/" xmlns:xsi="http://www.w3.org/2001/XMLSchema-instance" xsi:type="dcterms:W3CDTF">2026-08-13T16:04:34Z</dcterms:modified>
</cp:coreProperties>
</file>