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rank\Desktop\EVM\01_raw_data\"/>
    </mc:Choice>
  </mc:AlternateContent>
  <xr:revisionPtr revIDLastSave="0" documentId="8_{ED754033-163B-47B7-A672-A353591D77DF}" xr6:coauthVersionLast="47" xr6:coauthVersionMax="47" xr10:uidLastSave="{00000000-0000-0000-0000-000000000000}"/>
  <bookViews>
    <workbookView xWindow="-120" yWindow="-16320" windowWidth="29040" windowHeight="15720" activeTab="1" xr2:uid="{00000000-000D-0000-FFFF-FFFF00000000}"/>
  </bookViews>
  <sheets>
    <sheet name="Cover" sheetId="12" r:id="rId1"/>
    <sheet name="Executive_Dashboard" sheetId="1" r:id="rId2"/>
    <sheet name="PV_Baseline" sheetId="2" r:id="rId3"/>
    <sheet name="EV_Progress" sheetId="3" r:id="rId4"/>
    <sheet name="AC_Actuals" sheetId="4" r:id="rId5"/>
    <sheet name="Gantt_Schedule" sheetId="5" r:id="rId6"/>
    <sheet name="Key_Milestones" sheetId="6" r:id="rId7"/>
    <sheet name="Risk_Register" sheetId="7" r:id="rId8"/>
    <sheet name="Waterfall_Bridge" sheetId="8" r:id="rId9"/>
    <sheet name="Cash_Burn_Rate" sheetId="9" r:id="rId10"/>
    <sheet name="Financial_Ratios" sheetId="10" r:id="rId11"/>
    <sheet name="Monte_Carlo_P90" sheetId="11" r:id="rId12"/>
  </sheets>
  <definedNames>
    <definedName name="_xlchart.v1.0" hidden="1">Waterfall_Bridge!$I$5:$I$13</definedName>
    <definedName name="_xlchart.v1.1" hidden="1">Waterfall_Bridge!$J$4</definedName>
    <definedName name="_xlchart.v1.2" hidden="1">Waterfall_Bridge!$J$5:$J$13</definedName>
    <definedName name="_xlchart.v1.3" hidden="1">Waterfall_Bridge!$D$4</definedName>
    <definedName name="_xlchart.v1.4" hidden="1">Waterfall_Bridge!$D$5:$D$13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9" l="1"/>
  <c r="K17" i="9"/>
  <c r="J17" i="9"/>
  <c r="I17" i="9"/>
  <c r="L16" i="9"/>
  <c r="K16" i="9"/>
  <c r="J16" i="9"/>
  <c r="I16" i="9"/>
  <c r="L15" i="9"/>
  <c r="K15" i="9"/>
  <c r="J15" i="9"/>
  <c r="I15" i="9"/>
  <c r="L14" i="9"/>
  <c r="K14" i="9"/>
  <c r="J14" i="9"/>
  <c r="I14" i="9"/>
  <c r="L13" i="9"/>
  <c r="K13" i="9"/>
  <c r="J13" i="9"/>
  <c r="I13" i="9"/>
  <c r="L12" i="9"/>
  <c r="K12" i="9"/>
  <c r="J12" i="9"/>
  <c r="I12" i="9"/>
  <c r="L11" i="9"/>
  <c r="K11" i="9"/>
  <c r="J11" i="9"/>
  <c r="I11" i="9"/>
  <c r="L10" i="9"/>
  <c r="K10" i="9"/>
  <c r="J10" i="9"/>
  <c r="I10" i="9"/>
  <c r="L9" i="9"/>
  <c r="K9" i="9"/>
  <c r="J9" i="9"/>
  <c r="I9" i="9"/>
  <c r="L8" i="9"/>
  <c r="K8" i="9"/>
  <c r="J8" i="9"/>
  <c r="I8" i="9"/>
  <c r="L7" i="9"/>
  <c r="K7" i="9"/>
  <c r="J7" i="9"/>
  <c r="I7" i="9"/>
  <c r="L6" i="9"/>
  <c r="K6" i="9"/>
  <c r="J6" i="9"/>
  <c r="I6" i="9"/>
  <c r="L5" i="9"/>
  <c r="K5" i="9"/>
  <c r="J5" i="9"/>
  <c r="I5" i="9"/>
  <c r="M9" i="11"/>
  <c r="L9" i="11"/>
  <c r="J9" i="11"/>
  <c r="I9" i="11"/>
  <c r="M8" i="11"/>
  <c r="L8" i="11"/>
  <c r="J8" i="11"/>
  <c r="I8" i="11"/>
  <c r="M7" i="11"/>
  <c r="L7" i="11"/>
  <c r="J7" i="11"/>
  <c r="I7" i="11"/>
  <c r="M6" i="11"/>
  <c r="L6" i="11"/>
  <c r="J6" i="11"/>
  <c r="I6" i="11"/>
  <c r="M5" i="11"/>
  <c r="L5" i="11"/>
  <c r="J5" i="11"/>
  <c r="I5" i="11"/>
  <c r="J13" i="8"/>
  <c r="I13" i="8"/>
  <c r="J12" i="8"/>
  <c r="I12" i="8"/>
  <c r="J11" i="8"/>
  <c r="I11" i="8"/>
  <c r="J10" i="8"/>
  <c r="I10" i="8"/>
  <c r="J9" i="8"/>
  <c r="I9" i="8"/>
  <c r="J8" i="8"/>
  <c r="I8" i="8"/>
  <c r="J7" i="8"/>
  <c r="I7" i="8"/>
  <c r="J6" i="8"/>
  <c r="I6" i="8"/>
  <c r="J5" i="8"/>
  <c r="I5" i="8"/>
  <c r="E31" i="1"/>
</calcChain>
</file>

<file path=xl/sharedStrings.xml><?xml version="1.0" encoding="utf-8"?>
<sst xmlns="http://schemas.openxmlformats.org/spreadsheetml/2006/main" count="638" uniqueCount="384">
  <si>
    <t>North Sea Oil Platform Drill Tower Construction - Executive EVM Outturn Report</t>
  </si>
  <si>
    <t>Metric Name</t>
  </si>
  <si>
    <t>Value ($ / %)</t>
  </si>
  <si>
    <t>Status / Notes</t>
  </si>
  <si>
    <t>Total Baseline Budget (BAC)</t>
  </si>
  <si>
    <t>Approved Scope Anchor</t>
  </si>
  <si>
    <t>Cumulative Planned Value (PV)</t>
  </si>
  <si>
    <t>BCWS Baseline Plan (Month 8)</t>
  </si>
  <si>
    <t>Cumulative Earned Value (EV)</t>
  </si>
  <si>
    <t>BCWP Physical Progress (60.8%)</t>
  </si>
  <si>
    <t>Cumulative Actual Cost (AC)</t>
  </si>
  <si>
    <t>ACWP Ledger Spend Incurred</t>
  </si>
  <si>
    <t>Cost Variance (CV = EV - AC)</t>
  </si>
  <si>
    <t>Critical Overrun</t>
  </si>
  <si>
    <t>Schedule Variance (SV = EV - PV)</t>
  </si>
  <si>
    <t>Schedule Slippage</t>
  </si>
  <si>
    <t>Cost Performance Index (CPI)</t>
  </si>
  <si>
    <t>Critical Cost Efficiency Deficit</t>
  </si>
  <si>
    <t>Schedule Performance Index (SPI)</t>
  </si>
  <si>
    <t>Schedule Execution Delay</t>
  </si>
  <si>
    <t>Outturn Forecast (EAC = BAC / CPI)</t>
  </si>
  <si>
    <t>Projected Final Outturn</t>
  </si>
  <si>
    <t>Variance at Completion (VAC = BAC - EAC)</t>
  </si>
  <si>
    <t>Projected Final Deficit</t>
  </si>
  <si>
    <t>Earned Schedule (ES)</t>
  </si>
  <si>
    <t>Lipke Time-Based Progress</t>
  </si>
  <si>
    <t>Time-Based Index SPI(t)</t>
  </si>
  <si>
    <t>Time Variance: -18 Days</t>
  </si>
  <si>
    <t>Control Account EVM Performance Matrix (Month 8 Status Date)</t>
  </si>
  <si>
    <t>Task_ID</t>
  </si>
  <si>
    <t>WBS_Code</t>
  </si>
  <si>
    <t>Task_Name</t>
  </si>
  <si>
    <t>CAM</t>
  </si>
  <si>
    <t>BAC ($)</t>
  </si>
  <si>
    <t>T101</t>
  </si>
  <si>
    <t>1.1.1</t>
  </si>
  <si>
    <t>Structural Steel Detail Engineering</t>
  </si>
  <si>
    <t>H. Lindqvist</t>
  </si>
  <si>
    <t>T102</t>
  </si>
  <si>
    <t>1.1.2</t>
  </si>
  <si>
    <t>Piping &amp; Drilling Package Design</t>
  </si>
  <si>
    <t>T103</t>
  </si>
  <si>
    <t>1.2.1</t>
  </si>
  <si>
    <t>High-Grade Tubular Steel Procurement</t>
  </si>
  <si>
    <t>M. Berg</t>
  </si>
  <si>
    <t>T104</t>
  </si>
  <si>
    <t>1.2.2</t>
  </si>
  <si>
    <t>Mud Pumps &amp; Top Drive Equipment</t>
  </si>
  <si>
    <t>T105</t>
  </si>
  <si>
    <t>1.3.1</t>
  </si>
  <si>
    <t>Yard Sub-Structure Fabrication (Verdal)</t>
  </si>
  <si>
    <t>O. Eriksen</t>
  </si>
  <si>
    <t>T106</t>
  </si>
  <si>
    <t>1.3.2</t>
  </si>
  <si>
    <t>Derrick Tower Mast Assembly (Egersund)</t>
  </si>
  <si>
    <t>T107</t>
  </si>
  <si>
    <t>1.4.1</t>
  </si>
  <si>
    <t>Heavy Lift Vessel Mobilization (Heerema)</t>
  </si>
  <si>
    <t>K. Solberg</t>
  </si>
  <si>
    <t>T108</t>
  </si>
  <si>
    <t>1.4.2</t>
  </si>
  <si>
    <t>Offshore Topside Lifting &amp; Mating</t>
  </si>
  <si>
    <t>T109</t>
  </si>
  <si>
    <t>1.5.1</t>
  </si>
  <si>
    <t>Structural Hook-up &amp; NDT Inspection</t>
  </si>
  <si>
    <t>T. Nygård</t>
  </si>
  <si>
    <t>T110</t>
  </si>
  <si>
    <t>1.5.2</t>
  </si>
  <si>
    <t>System Pre-Commissioning &amp; Handover</t>
  </si>
  <si>
    <t>Total</t>
  </si>
  <si>
    <t>Total Portfolio Scope</t>
  </si>
  <si>
    <t>Item_ID</t>
  </si>
  <si>
    <t>TBC</t>
  </si>
  <si>
    <t>Month_1</t>
  </si>
  <si>
    <t>Month_2</t>
  </si>
  <si>
    <t>Month_3</t>
  </si>
  <si>
    <t>Month_4</t>
  </si>
  <si>
    <t>Month_5</t>
  </si>
  <si>
    <t>Month_6</t>
  </si>
  <si>
    <t>Month_7</t>
  </si>
  <si>
    <t>Month_8</t>
  </si>
  <si>
    <t>Month_9</t>
  </si>
  <si>
    <t>Month_10</t>
  </si>
  <si>
    <t>Month_11</t>
  </si>
  <si>
    <t>Month_12</t>
  </si>
  <si>
    <t>Month_1_%</t>
  </si>
  <si>
    <t>Month_2_%</t>
  </si>
  <si>
    <t>Month_3_%</t>
  </si>
  <si>
    <t>Month_4_%</t>
  </si>
  <si>
    <t>Month_5_%</t>
  </si>
  <si>
    <t>Month_6_%</t>
  </si>
  <si>
    <t>Month_7_%</t>
  </si>
  <si>
    <t>Month_8_%</t>
  </si>
  <si>
    <t>Month_9_%</t>
  </si>
  <si>
    <t>Month_10_%</t>
  </si>
  <si>
    <t>Month_11_%</t>
  </si>
  <si>
    <t>Month_12_%</t>
  </si>
  <si>
    <t>Month_1_AC</t>
  </si>
  <si>
    <t>Month_2_AC</t>
  </si>
  <si>
    <t>Month_3_AC</t>
  </si>
  <si>
    <t>Month_4_AC</t>
  </si>
  <si>
    <t>Month_5_AC</t>
  </si>
  <si>
    <t>Month_6_AC</t>
  </si>
  <si>
    <t>Month_7_AC</t>
  </si>
  <si>
    <t>Month_8_AC</t>
  </si>
  <si>
    <t>Month_9_AC</t>
  </si>
  <si>
    <t>Month_10_AC</t>
  </si>
  <si>
    <t>Month_11_AC</t>
  </si>
  <si>
    <t>Month_12_AC</t>
  </si>
  <si>
    <t>Baseline_Start</t>
  </si>
  <si>
    <t>Baseline_End</t>
  </si>
  <si>
    <t>Actual_Start</t>
  </si>
  <si>
    <t>Actual_End</t>
  </si>
  <si>
    <t>Predecessor_Task_ID</t>
  </si>
  <si>
    <t>Predecessor_Name</t>
  </si>
  <si>
    <t>Dependency_Type</t>
  </si>
  <si>
    <t>Lag_Days</t>
  </si>
  <si>
    <t>Percent_Complete</t>
  </si>
  <si>
    <t>Critical_Path_Flag</t>
  </si>
  <si>
    <t>Resource_Group</t>
  </si>
  <si>
    <t>2026-01-05</t>
  </si>
  <si>
    <t>2026-02-28</t>
  </si>
  <si>
    <t>2026-03-15</t>
  </si>
  <si>
    <t>Yes</t>
  </si>
  <si>
    <t>Engineering Team</t>
  </si>
  <si>
    <t>2026-02-01</t>
  </si>
  <si>
    <t>2026-03-31</t>
  </si>
  <si>
    <t>2026-04-15</t>
  </si>
  <si>
    <t>FS</t>
  </si>
  <si>
    <t>No</t>
  </si>
  <si>
    <t>2026-03-01</t>
  </si>
  <si>
    <t>2026-04-30</t>
  </si>
  <si>
    <t>2026-05-31</t>
  </si>
  <si>
    <t>Procurement Team</t>
  </si>
  <si>
    <t>2026-06-30</t>
  </si>
  <si>
    <t>2026-04-01</t>
  </si>
  <si>
    <t>2026-07-31</t>
  </si>
  <si>
    <t>2026-05-01</t>
  </si>
  <si>
    <t>2026-06-01</t>
  </si>
  <si>
    <t>2026-08-31</t>
  </si>
  <si>
    <t>Verdal Fabrication Yard</t>
  </si>
  <si>
    <t>2026-07-01</t>
  </si>
  <si>
    <t>2026-09-30</t>
  </si>
  <si>
    <t>Egersund Rigging Yard</t>
  </si>
  <si>
    <t>2026-08-15</t>
  </si>
  <si>
    <t>2026-09-15</t>
  </si>
  <si>
    <t>2026-10-15</t>
  </si>
  <si>
    <t>Offshore Marine Fleet</t>
  </si>
  <si>
    <t>2026-11-15</t>
  </si>
  <si>
    <t>2026-12-15</t>
  </si>
  <si>
    <t>Offshore Hook-Up Crew</t>
  </si>
  <si>
    <t>2026-12-31</t>
  </si>
  <si>
    <t>2027-01-31</t>
  </si>
  <si>
    <t>Commissioning Team</t>
  </si>
  <si>
    <t>KEY MILESTONES</t>
  </si>
  <si>
    <t>Offshore EPC Platform Drill Tower Project — Status Date: Aug 31, 2026</t>
  </si>
  <si>
    <t>Milestone_ID</t>
  </si>
  <si>
    <t>Milestone_Name</t>
  </si>
  <si>
    <t>Target_Date</t>
  </si>
  <si>
    <t>Baseline_Date</t>
  </si>
  <si>
    <t>Status</t>
  </si>
  <si>
    <t>RAG</t>
  </si>
  <si>
    <t>M1</t>
  </si>
  <si>
    <t>Engineering AFC Gate Review</t>
  </si>
  <si>
    <t>Achieved</t>
  </si>
  <si>
    <t>Green</t>
  </si>
  <si>
    <t>1.1</t>
  </si>
  <si>
    <t>M2</t>
  </si>
  <si>
    <t>Tubular Steel Material Delivery</t>
  </si>
  <si>
    <t>1.2</t>
  </si>
  <si>
    <t>M3</t>
  </si>
  <si>
    <t>Verdal Sub-Structure Handover</t>
  </si>
  <si>
    <t>Active</t>
  </si>
  <si>
    <t>M4</t>
  </si>
  <si>
    <t>Derrick Mast Ready for Lift</t>
  </si>
  <si>
    <t>Critical Rework</t>
  </si>
  <si>
    <t>Red</t>
  </si>
  <si>
    <t>M5</t>
  </si>
  <si>
    <t>Offshore Topside Mating Complete</t>
  </si>
  <si>
    <t>2026-10-31</t>
  </si>
  <si>
    <t>Critical Delay</t>
  </si>
  <si>
    <t>M6</t>
  </si>
  <si>
    <t>Final Commercial COD Handover</t>
  </si>
  <si>
    <t>Forecast COD</t>
  </si>
  <si>
    <t>1.5</t>
  </si>
  <si>
    <t>RISK REGISTER</t>
  </si>
  <si>
    <t>Risk_ID</t>
  </si>
  <si>
    <t>Risk_Title</t>
  </si>
  <si>
    <t>Category</t>
  </si>
  <si>
    <t>Probability</t>
  </si>
  <si>
    <t>Impact</t>
  </si>
  <si>
    <t>Risk_Score</t>
  </si>
  <si>
    <t>RAG_Level</t>
  </si>
  <si>
    <t>Financial_Exposure</t>
  </si>
  <si>
    <t>Expected_Monetary_Value</t>
  </si>
  <si>
    <t>Mitigation_Strategy</t>
  </si>
  <si>
    <t>CAM_Owner</t>
  </si>
  <si>
    <t>R01</t>
  </si>
  <si>
    <t>Egersund Derrick Mast Welding Tolerance Rework</t>
  </si>
  <si>
    <t>Fabrication</t>
  </si>
  <si>
    <t>Critical</t>
  </si>
  <si>
    <t>Capped yard labor hours under fixed-fee contract &amp; 24/7 NDT supervision</t>
  </si>
  <si>
    <t>Lars Hansen</t>
  </si>
  <si>
    <t>R02</t>
  </si>
  <si>
    <t>North Sea Weather Standby Delay during Mating</t>
  </si>
  <si>
    <t>Marine</t>
  </si>
  <si>
    <t>High</t>
  </si>
  <si>
    <t>Secured 14-day flexible mobilization window with Heerema Sleipnir</t>
  </si>
  <si>
    <t>Erik Solberg</t>
  </si>
  <si>
    <t>R03</t>
  </si>
  <si>
    <t>Subsea Tubular Steel Market Price Surcharges</t>
  </si>
  <si>
    <t>Procurement</t>
  </si>
  <si>
    <t>Medium</t>
  </si>
  <si>
    <t>Locked bulk steel purchasing under long-term supplier framework</t>
  </si>
  <si>
    <t>Ingrid Berg</t>
  </si>
  <si>
    <t>R04</t>
  </si>
  <si>
    <t>DNV Class Structural Redesign Review</t>
  </si>
  <si>
    <t>Engineering</t>
  </si>
  <si>
    <t>Embedded DNV structural lead directly inside project engineering team</t>
  </si>
  <si>
    <t>Geir Nilsen</t>
  </si>
  <si>
    <t>R05</t>
  </si>
  <si>
    <t>Offshore Hook-up Commissioning Crew Bottleneck</t>
  </si>
  <si>
    <t>Commissioning</t>
  </si>
  <si>
    <t>Low</t>
  </si>
  <si>
    <t>Pre-commissioned skid packages onshore in Verdal yard</t>
  </si>
  <si>
    <t>Bjørn Lie</t>
  </si>
  <si>
    <t>WATERFALL BRIDGE</t>
  </si>
  <si>
    <t>Step_ID</t>
  </si>
  <si>
    <t>Component_Name</t>
  </si>
  <si>
    <t>Type</t>
  </si>
  <si>
    <t>Incremental_Cost</t>
  </si>
  <si>
    <t>Cumulative_Cost</t>
  </si>
  <si>
    <t>Pct_Share</t>
  </si>
  <si>
    <t>Description</t>
  </si>
  <si>
    <t>Original Baseline Budget (BAC)</t>
  </si>
  <si>
    <t>Baseline</t>
  </si>
  <si>
    <t>Approved EPC baseline contract budget ceiling</t>
  </si>
  <si>
    <t>WBS 1.1 Detail Structural Engineering</t>
  </si>
  <si>
    <t>Variance</t>
  </si>
  <si>
    <t>Redesign of connection plates &amp; third-party DNV class review</t>
  </si>
  <si>
    <t>WBS 1.2 Procurement &amp; Tubular Steel</t>
  </si>
  <si>
    <t>Subsea tubular steel price inflation &amp; mud pump freight surcharge</t>
  </si>
  <si>
    <t>WBS 1.3.1 Verdal Sub-Structure Yard</t>
  </si>
  <si>
    <t>Minor yard overtime for weld inspection</t>
  </si>
  <si>
    <t>WBS 1.3.2 Egersund Derrick Mast Rework</t>
  </si>
  <si>
    <t>PRIMARY YARD REWORK DRIVER: Pipe out-of-tolerance &amp; 24/7 NDT welding</t>
  </si>
  <si>
    <t>WBS 1.4.1 Heavy Lift Vessel Standby</t>
  </si>
  <si>
    <t>North Sea autumn weather standby rates (Heerema Sleipnir)</t>
  </si>
  <si>
    <t>WBS 1.4.2 Topside Lifting &amp; Mating</t>
  </si>
  <si>
    <t>Pre-lift trial fitting and alignment fixtures</t>
  </si>
  <si>
    <t>WBS 1.5 Hook-up &amp; Commissioning</t>
  </si>
  <si>
    <t>Extended offshore commissioning specialist crew</t>
  </si>
  <si>
    <t>Time Delay Overhead Spread (SPI_t)</t>
  </si>
  <si>
    <t>TIME DELAY SPREAD: +31-day delay spreading PMO &amp; site overhead</t>
  </si>
  <si>
    <t>Final Outturn Forecast (EAC)</t>
  </si>
  <si>
    <t>Outturn</t>
  </si>
  <si>
    <t>Final predicted cost outcome at project completion</t>
  </si>
  <si>
    <t>CASH BURN RATE</t>
  </si>
  <si>
    <t>Period</t>
  </si>
  <si>
    <t>Monthly_PV</t>
  </si>
  <si>
    <t>Monthly_EV</t>
  </si>
  <si>
    <t>Monthly_AC</t>
  </si>
  <si>
    <t>Cum_AC</t>
  </si>
  <si>
    <t>Remaining_BAC</t>
  </si>
  <si>
    <t>Runway_Status</t>
  </si>
  <si>
    <t>M1 (Jan 26)</t>
  </si>
  <si>
    <t>Baseline Runway</t>
  </si>
  <si>
    <t>M2 (Feb 26)</t>
  </si>
  <si>
    <t>M3 (Mar 26)</t>
  </si>
  <si>
    <t>M4 (Apr 26)</t>
  </si>
  <si>
    <t>M5 (May 26)</t>
  </si>
  <si>
    <t>M6 (Jun 26)</t>
  </si>
  <si>
    <t>Peak Yard Spend Phase</t>
  </si>
  <si>
    <t>M7 (Jul 26)</t>
  </si>
  <si>
    <t>M8 (Aug 26 - Now)</t>
  </si>
  <si>
    <t>Critical Runway ($3.06M Left)</t>
  </si>
  <si>
    <t>M9 (Sep 26 - Burn)</t>
  </si>
  <si>
    <t>100% BUDGET BURN OUT!</t>
  </si>
  <si>
    <t>M10 (Oct 26)</t>
  </si>
  <si>
    <t>Overrun Financing Phase</t>
  </si>
  <si>
    <t>M11 (Nov 26)</t>
  </si>
  <si>
    <t>M12 (Dec 26)</t>
  </si>
  <si>
    <t>M13 (Jan 27 - COD)</t>
  </si>
  <si>
    <t>Final COD (+8.91M Overrun)</t>
  </si>
  <si>
    <t>FINANCIAL RATIOS</t>
  </si>
  <si>
    <t>Metric</t>
  </si>
  <si>
    <t>Value</t>
  </si>
  <si>
    <t>Numeric_Value</t>
  </si>
  <si>
    <t>Unit</t>
  </si>
  <si>
    <t>Evaluation</t>
  </si>
  <si>
    <t>Net Present Value (NPV @ 10% WACC)</t>
  </si>
  <si>
    <t>+$14,899,563</t>
  </si>
  <si>
    <t>USD</t>
  </si>
  <si>
    <t>Strong Positive Net Present Value</t>
  </si>
  <si>
    <t>Internal Rate of Return (IRR)</t>
  </si>
  <si>
    <t>18.86%</t>
  </si>
  <si>
    <t>%</t>
  </si>
  <si>
    <t>Outperforms 10.0% Hurdle Rate by +886 bps</t>
  </si>
  <si>
    <t>Simple Payback Period</t>
  </si>
  <si>
    <t>4.43 Years</t>
  </si>
  <si>
    <t>Years</t>
  </si>
  <si>
    <t>53.1 Months (May 2031)</t>
  </si>
  <si>
    <t>Profitability Index (PI)</t>
  </si>
  <si>
    <t>1.42</t>
  </si>
  <si>
    <t>Ratio</t>
  </si>
  <si>
    <t>Generates $1.42 PV per $1.00 spent</t>
  </si>
  <si>
    <t>Total Simple ROI</t>
  </si>
  <si>
    <t>134.37%</t>
  </si>
  <si>
    <t>High 10-year cumulative commercial return</t>
  </si>
  <si>
    <t>Annualized ROI (CAGR)</t>
  </si>
  <si>
    <t>8.89%</t>
  </si>
  <si>
    <t>%/Year</t>
  </si>
  <si>
    <t>Compounded annual growth rate</t>
  </si>
  <si>
    <t>Gross Future Value Year 10 (FV)</t>
  </si>
  <si>
    <t>$130,499,397</t>
  </si>
  <si>
    <t>Nominal cash generated across 10 years</t>
  </si>
  <si>
    <t>Net Future Value (NFV)</t>
  </si>
  <si>
    <t>+$38,645,628</t>
  </si>
  <si>
    <t>Net future value after CAPEX outturn</t>
  </si>
  <si>
    <t>MONTE CARLO P90</t>
  </si>
  <si>
    <t>Percentile</t>
  </si>
  <si>
    <t>Confidence_Level</t>
  </si>
  <si>
    <t>Outturn_Cost_EAC</t>
  </si>
  <si>
    <t>Cost_Overrun_VAC</t>
  </si>
  <si>
    <t>Contingency_Reserve</t>
  </si>
  <si>
    <t>Duration_Days</t>
  </si>
  <si>
    <t>Completion_Date</t>
  </si>
  <si>
    <t>Schedule_Delay_Days</t>
  </si>
  <si>
    <t>P10</t>
  </si>
  <si>
    <t>10% Optimistic</t>
  </si>
  <si>
    <t>2027-02-13</t>
  </si>
  <si>
    <t>P50</t>
  </si>
  <si>
    <t>50% Median</t>
  </si>
  <si>
    <t>2027-02-27</t>
  </si>
  <si>
    <t>P80</t>
  </si>
  <si>
    <t>80% Standard</t>
  </si>
  <si>
    <t>2027-03-09</t>
  </si>
  <si>
    <t>P90</t>
  </si>
  <si>
    <t>90% High Confidence</t>
  </si>
  <si>
    <t>2027-03-14</t>
  </si>
  <si>
    <t>P95</t>
  </si>
  <si>
    <t>95% Extreme Risk</t>
  </si>
  <si>
    <t>2027-03-18</t>
  </si>
  <si>
    <t>OFFSHORE EPC PROJECT CONTROL WORKBOOK</t>
  </si>
  <si>
    <t>Executive EVM, schedule, risk, cash-flow and probabilistic outturn reporting — Status Date: Aug 31, 2026</t>
  </si>
  <si>
    <t>CONTENTS</t>
  </si>
  <si>
    <t>Executive_Dashboard</t>
  </si>
  <si>
    <t>Headline EVM position, forecast and control-account portfolio.</t>
  </si>
  <si>
    <t>PV_Baseline</t>
  </si>
  <si>
    <t>Monthly planned-value baseline by work package.</t>
  </si>
  <si>
    <t>EV_Progress</t>
  </si>
  <si>
    <t>Monthly physical-progress and earned-value inputs.</t>
  </si>
  <si>
    <t>AC_Actuals</t>
  </si>
  <si>
    <t>Monthly actual-cost ledger by work package.</t>
  </si>
  <si>
    <t>Gantt_Schedule</t>
  </si>
  <si>
    <t>Baseline versus actual schedule, dependencies and critical path.</t>
  </si>
  <si>
    <t>Key_Milestones</t>
  </si>
  <si>
    <t>Milestone dates, status and RAG condition.</t>
  </si>
  <si>
    <t>Risk_Register</t>
  </si>
  <si>
    <t>Risk exposure, score, mitigation and ownership.</t>
  </si>
  <si>
    <t>Waterfall_Bridge</t>
  </si>
  <si>
    <t>Bridge from approved budget to forecast outturn.</t>
  </si>
  <si>
    <t>Cash_Burn_Rate</t>
  </si>
  <si>
    <t>Monthly cash burn, remaining budget and runway status.</t>
  </si>
  <si>
    <t>Financial_Ratios</t>
  </si>
  <si>
    <t>Investment returns and commercial-value metrics.</t>
  </si>
  <si>
    <t>Monte_Carlo_P90</t>
  </si>
  <si>
    <t>Probabilistic cost and schedule confidence outcomes.</t>
  </si>
  <si>
    <t>Month 8 performance and forecast control view — Status Date: Aug 31, 2026</t>
  </si>
  <si>
    <t>Component</t>
  </si>
  <si>
    <t>Incremental Cost</t>
  </si>
  <si>
    <t>Cost Outturn</t>
  </si>
  <si>
    <t>Duration Days</t>
  </si>
  <si>
    <t>RISK PROBABILITY × IMPACT HEATMAP</t>
  </si>
  <si>
    <t>Impact →</t>
  </si>
  <si>
    <t>Low → High</t>
  </si>
  <si>
    <t>Impact score</t>
  </si>
  <si>
    <t>Legend</t>
  </si>
  <si>
    <t>Low (1–7)</t>
  </si>
  <si>
    <t>Medium (8–14)</t>
  </si>
  <si>
    <t>High / Critical (15–25)</t>
  </si>
  <si>
    <t>Cumulative PV</t>
  </si>
  <si>
    <t>Cumulative EV</t>
  </si>
  <si>
    <t>Cumulative 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</si>
</sst>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0.0%"/>
    <numFmt numFmtId="166" formatCode="&quot;$&quot;#,##0;[Red]\-&quot;$&quot;#,##0"/>
    <numFmt numFmtId="167" formatCode="0.0"/>
    <numFmt numFmtId="168" formatCode="&quot;$&quot;#,##0"/>
    <numFmt numFmtId="169" formatCode="yyyy\-mm\-dd"/>
    <numFmt numFmtId="170" formatCode="0.0&quot;%&quot;"/>
  </numFmts>
  <fonts count="2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  <font>
      <b/>
      <sz val="11"/>
      <color rgb="FF059669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1F4E78"/>
      <name val="Calibri"/>
      <family val="2"/>
      <scheme val="minor"/>
    </font>
    <font>
      <sz val="11"/>
      <color rgb="FF1F1F1F"/>
      <name val="Calibri"/>
      <family val="2"/>
      <scheme val="minor"/>
    </font>
    <font>
      <b/>
      <sz val="17"/>
      <color rgb="FFFFFFFF"/>
      <name val="Calibri"/>
    </font>
    <font>
      <i/>
      <sz val="10"/>
      <color rgb="FF666666"/>
      <name val="Calibri"/>
      <family val="2"/>
      <scheme val="minor"/>
    </font>
    <font>
      <b/>
      <sz val="12"/>
      <color rgb="FFFFFFFF"/>
      <name val="Calibri"/>
    </font>
    <font>
      <b/>
      <sz val="11"/>
      <color rgb="FF9C0006"/>
      <name val="Calibri"/>
    </font>
    <font>
      <b/>
      <sz val="11"/>
      <color rgb="FF9C6500"/>
      <name val="Calibri"/>
    </font>
    <font>
      <i/>
      <sz val="10"/>
      <color rgb="FF666666"/>
      <name val="Calibri"/>
    </font>
    <font>
      <b/>
      <sz val="11"/>
      <color rgb="FF9C000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006100"/>
      <name val="Calibri"/>
    </font>
    <font>
      <b/>
      <sz val="12"/>
      <color rgb="FFFFFFFF"/>
      <name val="Calibri"/>
      <family val="2"/>
      <scheme val="minor"/>
    </font>
    <font>
      <b/>
      <sz val="11"/>
      <color rgb="FF7F6000"/>
      <name val="Calibri"/>
      <family val="2"/>
      <scheme val="minor"/>
    </font>
    <font>
      <b/>
      <sz val="11"/>
      <color rgb="FF7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1FAE5"/>
        <bgColor rgb="FFD1FAE5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FFEB84"/>
        <bgColor indexed="64"/>
      </patternFill>
    </fill>
    <fill>
      <patternFill patternType="solid">
        <fgColor rgb="FFF8696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7" fillId="3" borderId="0" xfId="0" applyFont="1" applyFill="1"/>
    <xf numFmtId="0" fontId="8" fillId="0" borderId="0" xfId="0" applyFont="1"/>
    <xf numFmtId="0" fontId="6" fillId="4" borderId="0" xfId="0" applyFont="1" applyFill="1"/>
    <xf numFmtId="0" fontId="9" fillId="0" borderId="0" xfId="0" applyFont="1" applyBorder="1"/>
    <xf numFmtId="0" fontId="9" fillId="0" borderId="1" xfId="0" applyFont="1" applyBorder="1"/>
    <xf numFmtId="0" fontId="10" fillId="0" borderId="0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3" borderId="0" xfId="0" applyFont="1" applyFill="1"/>
    <xf numFmtId="0" fontId="12" fillId="0" borderId="0" xfId="0" applyFont="1"/>
    <xf numFmtId="0" fontId="13" fillId="4" borderId="0" xfId="0" applyFont="1" applyFill="1"/>
    <xf numFmtId="0" fontId="1" fillId="3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3" fillId="0" borderId="2" xfId="0" applyFont="1" applyBorder="1"/>
    <xf numFmtId="0" fontId="2" fillId="5" borderId="2" xfId="0" applyFont="1" applyFill="1" applyBorder="1"/>
    <xf numFmtId="0" fontId="3" fillId="5" borderId="2" xfId="0" applyFont="1" applyFill="1" applyBorder="1"/>
    <xf numFmtId="166" fontId="4" fillId="2" borderId="2" xfId="0" applyNumberFormat="1" applyFont="1" applyFill="1" applyBorder="1"/>
    <xf numFmtId="166" fontId="2" fillId="5" borderId="2" xfId="0" applyNumberFormat="1" applyFont="1" applyFill="1" applyBorder="1"/>
    <xf numFmtId="167" fontId="4" fillId="2" borderId="2" xfId="0" applyNumberFormat="1" applyFont="1" applyFill="1" applyBorder="1"/>
    <xf numFmtId="168" fontId="3" fillId="0" borderId="2" xfId="0" applyNumberFormat="1" applyFont="1" applyBorder="1"/>
    <xf numFmtId="168" fontId="3" fillId="5" borderId="2" xfId="0" applyNumberFormat="1" applyFont="1" applyFill="1" applyBorder="1"/>
    <xf numFmtId="166" fontId="14" fillId="6" borderId="2" xfId="0" applyNumberFormat="1" applyFont="1" applyFill="1" applyBorder="1"/>
    <xf numFmtId="2" fontId="15" fillId="7" borderId="2" xfId="0" applyNumberFormat="1" applyFont="1" applyFill="1" applyBorder="1"/>
    <xf numFmtId="0" fontId="2" fillId="8" borderId="2" xfId="0" applyFont="1" applyFill="1" applyBorder="1"/>
    <xf numFmtId="168" fontId="2" fillId="8" borderId="2" xfId="0" applyNumberFormat="1" applyFont="1" applyFill="1" applyBorder="1"/>
    <xf numFmtId="0" fontId="5" fillId="8" borderId="2" xfId="0" applyFont="1" applyFill="1" applyBorder="1"/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3" fillId="5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/>
    </xf>
    <xf numFmtId="165" fontId="3" fillId="0" borderId="2" xfId="0" applyNumberFormat="1" applyFont="1" applyBorder="1" applyAlignment="1">
      <alignment horizontal="right"/>
    </xf>
    <xf numFmtId="165" fontId="3" fillId="5" borderId="2" xfId="0" applyNumberFormat="1" applyFont="1" applyFill="1" applyBorder="1" applyAlignment="1">
      <alignment horizontal="right"/>
    </xf>
    <xf numFmtId="168" fontId="3" fillId="0" borderId="2" xfId="0" applyNumberFormat="1" applyFont="1" applyBorder="1" applyAlignment="1">
      <alignment horizontal="right"/>
    </xf>
    <xf numFmtId="168" fontId="3" fillId="5" borderId="2" xfId="0" applyNumberFormat="1" applyFont="1" applyFill="1" applyBorder="1" applyAlignment="1">
      <alignment horizontal="right"/>
    </xf>
    <xf numFmtId="169" fontId="3" fillId="0" borderId="2" xfId="0" applyNumberFormat="1" applyFont="1" applyBorder="1" applyAlignment="1">
      <alignment horizontal="left"/>
    </xf>
    <xf numFmtId="169" fontId="3" fillId="5" borderId="2" xfId="0" applyNumberFormat="1" applyFont="1" applyFill="1" applyBorder="1" applyAlignment="1">
      <alignment horizontal="left"/>
    </xf>
    <xf numFmtId="1" fontId="3" fillId="0" borderId="2" xfId="0" applyNumberFormat="1" applyFont="1" applyBorder="1" applyAlignment="1">
      <alignment horizontal="left"/>
    </xf>
    <xf numFmtId="1" fontId="3" fillId="5" borderId="2" xfId="0" applyNumberFormat="1" applyFont="1" applyFill="1" applyBorder="1" applyAlignment="1">
      <alignment horizontal="left"/>
    </xf>
    <xf numFmtId="9" fontId="3" fillId="0" borderId="2" xfId="0" applyNumberFormat="1" applyFont="1" applyBorder="1" applyAlignment="1">
      <alignment horizontal="left"/>
    </xf>
    <xf numFmtId="9" fontId="3" fillId="5" borderId="2" xfId="0" applyNumberFormat="1" applyFont="1" applyFill="1" applyBorder="1" applyAlignment="1">
      <alignment horizontal="left"/>
    </xf>
    <xf numFmtId="0" fontId="16" fillId="0" borderId="0" xfId="0" applyFont="1"/>
    <xf numFmtId="0" fontId="0" fillId="0" borderId="2" xfId="0" applyBorder="1" applyAlignment="1">
      <alignment horizontal="left"/>
    </xf>
    <xf numFmtId="0" fontId="0" fillId="5" borderId="2" xfId="0" applyFill="1" applyBorder="1" applyAlignment="1">
      <alignment horizontal="left"/>
    </xf>
    <xf numFmtId="169" fontId="0" fillId="0" borderId="2" xfId="0" applyNumberFormat="1" applyBorder="1" applyAlignment="1">
      <alignment horizontal="left"/>
    </xf>
    <xf numFmtId="169" fontId="0" fillId="5" borderId="2" xfId="0" applyNumberFormat="1" applyFill="1" applyBorder="1" applyAlignment="1">
      <alignment horizontal="left"/>
    </xf>
    <xf numFmtId="0" fontId="0" fillId="0" borderId="2" xfId="0" applyBorder="1" applyAlignment="1">
      <alignment horizontal="right"/>
    </xf>
    <xf numFmtId="0" fontId="0" fillId="5" borderId="2" xfId="0" applyFill="1" applyBorder="1" applyAlignment="1">
      <alignment horizontal="right"/>
    </xf>
    <xf numFmtId="1" fontId="0" fillId="0" borderId="2" xfId="0" applyNumberFormat="1" applyBorder="1" applyAlignment="1">
      <alignment horizontal="right"/>
    </xf>
    <xf numFmtId="1" fontId="0" fillId="5" borderId="2" xfId="0" applyNumberFormat="1" applyFill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168" fontId="0" fillId="5" borderId="2" xfId="0" applyNumberFormat="1" applyFill="1" applyBorder="1" applyAlignment="1">
      <alignment horizontal="right"/>
    </xf>
    <xf numFmtId="0" fontId="0" fillId="0" borderId="2" xfId="0" applyBorder="1" applyAlignment="1">
      <alignment horizontal="left" wrapText="1"/>
    </xf>
    <xf numFmtId="0" fontId="0" fillId="5" borderId="2" xfId="0" applyFill="1" applyBorder="1" applyAlignment="1">
      <alignment horizontal="left" wrapText="1"/>
    </xf>
    <xf numFmtId="170" fontId="0" fillId="0" borderId="2" xfId="0" applyNumberFormat="1" applyBorder="1" applyAlignment="1">
      <alignment horizontal="right"/>
    </xf>
    <xf numFmtId="170" fontId="0" fillId="5" borderId="2" xfId="0" applyNumberFormat="1" applyFill="1" applyBorder="1" applyAlignment="1">
      <alignment horizontal="right"/>
    </xf>
    <xf numFmtId="168" fontId="17" fillId="6" borderId="2" xfId="0" applyNumberFormat="1" applyFont="1" applyFill="1" applyBorder="1" applyAlignment="1">
      <alignment horizontal="right"/>
    </xf>
    <xf numFmtId="170" fontId="17" fillId="6" borderId="2" xfId="0" applyNumberFormat="1" applyFont="1" applyFill="1" applyBorder="1" applyAlignment="1">
      <alignment horizontal="right"/>
    </xf>
    <xf numFmtId="0" fontId="17" fillId="6" borderId="2" xfId="0" applyFont="1" applyFill="1" applyBorder="1" applyAlignment="1">
      <alignment horizontal="left" wrapText="1"/>
    </xf>
    <xf numFmtId="0" fontId="5" fillId="8" borderId="2" xfId="0" applyFont="1" applyFill="1" applyBorder="1" applyAlignment="1">
      <alignment horizontal="right"/>
    </xf>
    <xf numFmtId="0" fontId="5" fillId="8" borderId="2" xfId="0" applyFont="1" applyFill="1" applyBorder="1" applyAlignment="1">
      <alignment horizontal="left"/>
    </xf>
    <xf numFmtId="168" fontId="5" fillId="8" borderId="2" xfId="0" applyNumberFormat="1" applyFont="1" applyFill="1" applyBorder="1" applyAlignment="1">
      <alignment horizontal="right"/>
    </xf>
    <xf numFmtId="170" fontId="5" fillId="8" borderId="2" xfId="0" applyNumberFormat="1" applyFont="1" applyFill="1" applyBorder="1" applyAlignment="1">
      <alignment horizontal="right"/>
    </xf>
    <xf numFmtId="0" fontId="5" fillId="8" borderId="2" xfId="0" applyFont="1" applyFill="1" applyBorder="1" applyAlignment="1">
      <alignment horizontal="left" wrapText="1"/>
    </xf>
    <xf numFmtId="166" fontId="0" fillId="0" borderId="2" xfId="0" applyNumberFormat="1" applyBorder="1" applyAlignment="1">
      <alignment horizontal="right"/>
    </xf>
    <xf numFmtId="166" fontId="0" fillId="5" borderId="2" xfId="0" applyNumberFormat="1" applyFill="1" applyBorder="1" applyAlignment="1">
      <alignment horizontal="right"/>
    </xf>
    <xf numFmtId="168" fontId="18" fillId="9" borderId="2" xfId="0" applyNumberFormat="1" applyFont="1" applyFill="1" applyBorder="1" applyAlignment="1">
      <alignment horizontal="right"/>
    </xf>
    <xf numFmtId="10" fontId="18" fillId="9" borderId="2" xfId="0" applyNumberFormat="1" applyFont="1" applyFill="1" applyBorder="1" applyAlignment="1">
      <alignment horizontal="right"/>
    </xf>
    <xf numFmtId="2" fontId="18" fillId="9" borderId="2" xfId="0" applyNumberFormat="1" applyFont="1" applyFill="1" applyBorder="1" applyAlignment="1">
      <alignment horizontal="right"/>
    </xf>
    <xf numFmtId="2" fontId="19" fillId="7" borderId="2" xfId="0" applyNumberFormat="1" applyFont="1" applyFill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67" fontId="0" fillId="5" borderId="2" xfId="0" applyNumberFormat="1" applyFill="1" applyBorder="1" applyAlignment="1">
      <alignment horizontal="right"/>
    </xf>
    <xf numFmtId="0" fontId="19" fillId="7" borderId="2" xfId="0" applyFont="1" applyFill="1" applyBorder="1" applyAlignment="1">
      <alignment horizontal="left"/>
    </xf>
    <xf numFmtId="166" fontId="19" fillId="7" borderId="2" xfId="0" applyNumberFormat="1" applyFont="1" applyFill="1" applyBorder="1" applyAlignment="1">
      <alignment horizontal="right"/>
    </xf>
    <xf numFmtId="167" fontId="19" fillId="7" borderId="2" xfId="0" applyNumberFormat="1" applyFont="1" applyFill="1" applyBorder="1" applyAlignment="1">
      <alignment horizontal="right"/>
    </xf>
    <xf numFmtId="169" fontId="19" fillId="7" borderId="2" xfId="0" applyNumberFormat="1" applyFont="1" applyFill="1" applyBorder="1" applyAlignment="1">
      <alignment horizontal="left"/>
    </xf>
    <xf numFmtId="0" fontId="17" fillId="6" borderId="2" xfId="0" applyFont="1" applyFill="1" applyBorder="1" applyAlignment="1">
      <alignment horizontal="left"/>
    </xf>
    <xf numFmtId="166" fontId="17" fillId="6" borderId="2" xfId="0" applyNumberFormat="1" applyFont="1" applyFill="1" applyBorder="1" applyAlignment="1">
      <alignment horizontal="right"/>
    </xf>
    <xf numFmtId="167" fontId="17" fillId="6" borderId="2" xfId="0" applyNumberFormat="1" applyFont="1" applyFill="1" applyBorder="1" applyAlignment="1">
      <alignment horizontal="right"/>
    </xf>
    <xf numFmtId="169" fontId="17" fillId="6" borderId="2" xfId="0" applyNumberFormat="1" applyFont="1" applyFill="1" applyBorder="1" applyAlignment="1">
      <alignment horizontal="left"/>
    </xf>
    <xf numFmtId="0" fontId="15" fillId="7" borderId="2" xfId="0" applyFont="1" applyFill="1" applyBorder="1" applyAlignment="1">
      <alignment horizontal="left"/>
    </xf>
    <xf numFmtId="0" fontId="20" fillId="9" borderId="2" xfId="0" applyFont="1" applyFill="1" applyBorder="1" applyAlignment="1">
      <alignment horizontal="left"/>
    </xf>
    <xf numFmtId="0" fontId="14" fillId="6" borderId="2" xfId="0" applyFont="1" applyFill="1" applyBorder="1" applyAlignment="1">
      <alignment horizontal="left"/>
    </xf>
    <xf numFmtId="0" fontId="18" fillId="9" borderId="2" xfId="0" applyFont="1" applyFill="1" applyBorder="1" applyAlignment="1">
      <alignment horizontal="left"/>
    </xf>
    <xf numFmtId="168" fontId="0" fillId="0" borderId="0" xfId="0" applyNumberFormat="1"/>
    <xf numFmtId="167" fontId="0" fillId="0" borderId="0" xfId="0" applyNumberFormat="1"/>
    <xf numFmtId="0" fontId="21" fillId="4" borderId="0" xfId="0" applyFont="1" applyFill="1"/>
    <xf numFmtId="0" fontId="6" fillId="3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center"/>
    </xf>
    <xf numFmtId="0" fontId="18" fillId="10" borderId="3" xfId="0" applyFont="1" applyFill="1" applyBorder="1" applyAlignment="1">
      <alignment horizontal="center" vertical="center" wrapText="1"/>
    </xf>
    <xf numFmtId="0" fontId="22" fillId="11" borderId="3" xfId="0" applyFont="1" applyFill="1" applyBorder="1" applyAlignment="1">
      <alignment horizontal="center" vertical="center" wrapText="1"/>
    </xf>
    <xf numFmtId="0" fontId="23" fillId="12" borderId="3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/>
    <xf numFmtId="0" fontId="5" fillId="0" borderId="0" xfId="0" applyFont="1"/>
    <xf numFmtId="0" fontId="5" fillId="10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</cellXfs>
  <cellStyles count="1">
    <cellStyle name="Normal" xfId="0" builtinId="0"/>
  </cellStyles>
  <dxfs count="3">
    <dxf>
      <font>
        <b/>
        <color rgb="FFDC2626"/>
      </font>
      <fill>
        <patternFill patternType="solid">
          <fgColor rgb="FFFEE2E2"/>
          <bgColor rgb="FFFEE2E2"/>
        </patternFill>
      </fill>
    </dxf>
    <dxf>
      <font>
        <b/>
        <color rgb="FFD97706"/>
      </font>
      <fill>
        <patternFill patternType="solid">
          <fgColor rgb="FFFEF3C7"/>
          <bgColor rgb="FFFEF3C7"/>
        </patternFill>
      </fill>
    </dxf>
    <dxf>
      <font>
        <b/>
        <color rgb="FF059669"/>
      </font>
      <fill>
        <patternFill patternType="solid">
          <fgColor rgb="FFD1FAE5"/>
          <bgColor rgb="FFD1FAE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 8 EVM Snapshot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F75B5"/>
            </a:solidFill>
            <a:ln>
              <a:noFill/>
            </a:ln>
            <a:effectLst/>
          </c:spPr>
          <c:invertIfNegative val="0"/>
          <c:cat>
            <c:strRef>
              <c:f>Executive_Dashboard!$A$5:$A$7</c:f>
              <c:strCache>
                <c:ptCount val="3"/>
                <c:pt idx="0">
                  <c:v>Cumulative Planned Value (PV)</c:v>
                </c:pt>
                <c:pt idx="1">
                  <c:v>Cumulative Earned Value (EV)</c:v>
                </c:pt>
                <c:pt idx="2">
                  <c:v>Cumulative Actual Cost (AC)</c:v>
                </c:pt>
              </c:strCache>
            </c:strRef>
          </c:cat>
          <c:val>
            <c:numRef>
              <c:f>Executive_Dashboard!$B$5:$B$7</c:f>
              <c:numCache>
                <c:formatCode>"$"#,##0;[Red]\-"$"#,##0</c:formatCode>
                <c:ptCount val="3"/>
                <c:pt idx="0">
                  <c:v>20500000</c:v>
                </c:pt>
                <c:pt idx="1">
                  <c:v>17540000</c:v>
                </c:pt>
                <c:pt idx="2">
                  <c:v>23440000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AB-4D20-804B-EAF32CDD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7619215"/>
        <c:axId val="1493758032"/>
      </c:barChart>
      <c:catAx>
        <c:axId val="1647619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493758032"/>
        <c:crosses val="autoZero"/>
        <c:auto val="1"/>
        <c:lblAlgn val="ctr"/>
        <c:lblOffset val="100"/>
        <c:noMultiLvlLbl val="0"/>
      </c:catAx>
      <c:valAx>
        <c:axId val="149375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 millions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&quot;$&quot;#,##0;[Red]\-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476192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Risk Score by Threat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Risk_Register!$F$4</c:f>
              <c:strCache>
                <c:ptCount val="1"/>
                <c:pt idx="0">
                  <c:v>Risk_Score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Risk_Register!$B$5:$B$9</c:f>
              <c:strCache>
                <c:ptCount val="5"/>
                <c:pt idx="0">
                  <c:v>Egersund Derrick Mast Welding Tolerance Rework</c:v>
                </c:pt>
                <c:pt idx="1">
                  <c:v>North Sea Weather Standby Delay during Mating</c:v>
                </c:pt>
                <c:pt idx="2">
                  <c:v>Subsea Tubular Steel Market Price Surcharges</c:v>
                </c:pt>
                <c:pt idx="3">
                  <c:v>DNV Class Structural Redesign Review</c:v>
                </c:pt>
                <c:pt idx="4">
                  <c:v>Offshore Hook-up Commissioning Crew Bottleneck</c:v>
                </c:pt>
              </c:strCache>
            </c:strRef>
          </c:cat>
          <c:val>
            <c:numRef>
              <c:f>Risk_Register!$F$5:$F$9</c:f>
              <c:numCache>
                <c:formatCode>0</c:formatCode>
                <c:ptCount val="5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43-43C2-AE33-F5A5959A5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50897647"/>
        <c:axId val="1493666352"/>
      </c:barChart>
      <c:catAx>
        <c:axId val="1650897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493666352"/>
        <c:crosses val="autoZero"/>
        <c:auto val="1"/>
        <c:lblAlgn val="ctr"/>
        <c:lblOffset val="100"/>
        <c:noMultiLvlLbl val="0"/>
      </c:catAx>
      <c:valAx>
        <c:axId val="1493666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Risk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50897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PV vs EV vs 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Cash_Burn_Rate!$B$4</c:f>
              <c:strCache>
                <c:ptCount val="1"/>
                <c:pt idx="0">
                  <c:v>Monthly_PV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Cash_Burn_Rate!$A$5:$A$17</c:f>
              <c:strCache>
                <c:ptCount val="13"/>
                <c:pt idx="0">
                  <c:v>M1 (Jan 26)</c:v>
                </c:pt>
                <c:pt idx="1">
                  <c:v>M2 (Feb 26)</c:v>
                </c:pt>
                <c:pt idx="2">
                  <c:v>M3 (Mar 26)</c:v>
                </c:pt>
                <c:pt idx="3">
                  <c:v>M4 (Apr 26)</c:v>
                </c:pt>
                <c:pt idx="4">
                  <c:v>M5 (May 26)</c:v>
                </c:pt>
                <c:pt idx="5">
                  <c:v>M6 (Jun 26)</c:v>
                </c:pt>
                <c:pt idx="6">
                  <c:v>M7 (Jul 26)</c:v>
                </c:pt>
                <c:pt idx="7">
                  <c:v>M8 (Aug 26 - Now)</c:v>
                </c:pt>
                <c:pt idx="8">
                  <c:v>M9 (Sep 26 - Burn)</c:v>
                </c:pt>
                <c:pt idx="9">
                  <c:v>M10 (Oct 26)</c:v>
                </c:pt>
                <c:pt idx="10">
                  <c:v>M11 (Nov 26)</c:v>
                </c:pt>
                <c:pt idx="11">
                  <c:v>M12 (Dec 26)</c:v>
                </c:pt>
                <c:pt idx="12">
                  <c:v>M13 (Jan 27 - COD)</c:v>
                </c:pt>
              </c:strCache>
            </c:strRef>
          </c:cat>
          <c:val>
            <c:numRef>
              <c:f>Cash_Burn_Rate!$B$5:$B$17</c:f>
              <c:numCache>
                <c:formatCode>"$"#,##0;[Red]\-"$"#,##0</c:formatCode>
                <c:ptCount val="13"/>
                <c:pt idx="0">
                  <c:v>300000</c:v>
                </c:pt>
                <c:pt idx="1">
                  <c:v>900000</c:v>
                </c:pt>
                <c:pt idx="2">
                  <c:v>2700000</c:v>
                </c:pt>
                <c:pt idx="3">
                  <c:v>3800000</c:v>
                </c:pt>
                <c:pt idx="4">
                  <c:v>3000000</c:v>
                </c:pt>
                <c:pt idx="5">
                  <c:v>4000000</c:v>
                </c:pt>
                <c:pt idx="6">
                  <c:v>3000000</c:v>
                </c:pt>
                <c:pt idx="7">
                  <c:v>2800000</c:v>
                </c:pt>
                <c:pt idx="8">
                  <c:v>2500000</c:v>
                </c:pt>
                <c:pt idx="9">
                  <c:v>1500000</c:v>
                </c:pt>
                <c:pt idx="10">
                  <c:v>1000000</c:v>
                </c:pt>
                <c:pt idx="11">
                  <c:v>1000000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12-414F-873D-51417D6BDBF1}"/>
            </c:ext>
          </c:extLst>
        </c:ser>
        <c:ser>
          <c:idx val="1"/>
          <c:order val="1"/>
          <c:tx>
            <c:strRef>
              <c:f>Cash_Burn_Rate!$C$4</c:f>
              <c:strCache>
                <c:ptCount val="1"/>
                <c:pt idx="0">
                  <c:v>Monthly_EV</c:v>
                </c:pt>
              </c:strCache>
            </c:strRef>
          </c:tx>
          <c:spPr>
            <a:ln w="28575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Cash_Burn_Rate!$A$5:$A$17</c:f>
              <c:strCache>
                <c:ptCount val="13"/>
                <c:pt idx="0">
                  <c:v>M1 (Jan 26)</c:v>
                </c:pt>
                <c:pt idx="1">
                  <c:v>M2 (Feb 26)</c:v>
                </c:pt>
                <c:pt idx="2">
                  <c:v>M3 (Mar 26)</c:v>
                </c:pt>
                <c:pt idx="3">
                  <c:v>M4 (Apr 26)</c:v>
                </c:pt>
                <c:pt idx="4">
                  <c:v>M5 (May 26)</c:v>
                </c:pt>
                <c:pt idx="5">
                  <c:v>M6 (Jun 26)</c:v>
                </c:pt>
                <c:pt idx="6">
                  <c:v>M7 (Jul 26)</c:v>
                </c:pt>
                <c:pt idx="7">
                  <c:v>M8 (Aug 26 - Now)</c:v>
                </c:pt>
                <c:pt idx="8">
                  <c:v>M9 (Sep 26 - Burn)</c:v>
                </c:pt>
                <c:pt idx="9">
                  <c:v>M10 (Oct 26)</c:v>
                </c:pt>
                <c:pt idx="10">
                  <c:v>M11 (Nov 26)</c:v>
                </c:pt>
                <c:pt idx="11">
                  <c:v>M12 (Dec 26)</c:v>
                </c:pt>
                <c:pt idx="12">
                  <c:v>M13 (Jan 27 - COD)</c:v>
                </c:pt>
              </c:strCache>
            </c:strRef>
          </c:cat>
          <c:val>
            <c:numRef>
              <c:f>Cash_Burn_Rate!$C$5:$C$17</c:f>
              <c:numCache>
                <c:formatCode>"$"#,##0;[Red]\-"$"#,##0</c:formatCode>
                <c:ptCount val="13"/>
                <c:pt idx="0">
                  <c:v>300000</c:v>
                </c:pt>
                <c:pt idx="1">
                  <c:v>840000</c:v>
                </c:pt>
                <c:pt idx="2">
                  <c:v>2260000</c:v>
                </c:pt>
                <c:pt idx="3">
                  <c:v>3520000</c:v>
                </c:pt>
                <c:pt idx="4">
                  <c:v>2900000</c:v>
                </c:pt>
                <c:pt idx="5">
                  <c:v>2750000</c:v>
                </c:pt>
                <c:pt idx="6">
                  <c:v>2620000</c:v>
                </c:pt>
                <c:pt idx="7">
                  <c:v>2350000</c:v>
                </c:pt>
                <c:pt idx="8">
                  <c:v>2100000</c:v>
                </c:pt>
                <c:pt idx="9">
                  <c:v>2200000</c:v>
                </c:pt>
                <c:pt idx="10">
                  <c:v>2000000</c:v>
                </c:pt>
                <c:pt idx="11">
                  <c:v>1800000</c:v>
                </c:pt>
                <c:pt idx="12">
                  <c:v>860000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12-414F-873D-51417D6BDBF1}"/>
            </c:ext>
          </c:extLst>
        </c:ser>
        <c:ser>
          <c:idx val="2"/>
          <c:order val="2"/>
          <c:tx>
            <c:strRef>
              <c:f>Cash_Burn_Rate!$D$4</c:f>
              <c:strCache>
                <c:ptCount val="1"/>
                <c:pt idx="0">
                  <c:v>Monthly_AC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Cash_Burn_Rate!$A$5:$A$17</c:f>
              <c:strCache>
                <c:ptCount val="13"/>
                <c:pt idx="0">
                  <c:v>M1 (Jan 26)</c:v>
                </c:pt>
                <c:pt idx="1">
                  <c:v>M2 (Feb 26)</c:v>
                </c:pt>
                <c:pt idx="2">
                  <c:v>M3 (Mar 26)</c:v>
                </c:pt>
                <c:pt idx="3">
                  <c:v>M4 (Apr 26)</c:v>
                </c:pt>
                <c:pt idx="4">
                  <c:v>M5 (May 26)</c:v>
                </c:pt>
                <c:pt idx="5">
                  <c:v>M6 (Jun 26)</c:v>
                </c:pt>
                <c:pt idx="6">
                  <c:v>M7 (Jul 26)</c:v>
                </c:pt>
                <c:pt idx="7">
                  <c:v>M8 (Aug 26 - Now)</c:v>
                </c:pt>
                <c:pt idx="8">
                  <c:v>M9 (Sep 26 - Burn)</c:v>
                </c:pt>
                <c:pt idx="9">
                  <c:v>M10 (Oct 26)</c:v>
                </c:pt>
                <c:pt idx="10">
                  <c:v>M11 (Nov 26)</c:v>
                </c:pt>
                <c:pt idx="11">
                  <c:v>M12 (Dec 26)</c:v>
                </c:pt>
                <c:pt idx="12">
                  <c:v>M13 (Jan 27 - COD)</c:v>
                </c:pt>
              </c:strCache>
            </c:strRef>
          </c:cat>
          <c:val>
            <c:numRef>
              <c:f>Cash_Burn_Rate!$D$5:$D$17</c:f>
              <c:numCache>
                <c:formatCode>"$"#,##0;[Red]\-"$"#,##0</c:formatCode>
                <c:ptCount val="13"/>
                <c:pt idx="0">
                  <c:v>320000</c:v>
                </c:pt>
                <c:pt idx="1">
                  <c:v>950000</c:v>
                </c:pt>
                <c:pt idx="2">
                  <c:v>2900000</c:v>
                </c:pt>
                <c:pt idx="3">
                  <c:v>4050000</c:v>
                </c:pt>
                <c:pt idx="4">
                  <c:v>3220000</c:v>
                </c:pt>
                <c:pt idx="5">
                  <c:v>4450000</c:v>
                </c:pt>
                <c:pt idx="6">
                  <c:v>3850000</c:v>
                </c:pt>
                <c:pt idx="7">
                  <c:v>3700000</c:v>
                </c:pt>
                <c:pt idx="8">
                  <c:v>3200000</c:v>
                </c:pt>
                <c:pt idx="9">
                  <c:v>3300000</c:v>
                </c:pt>
                <c:pt idx="10">
                  <c:v>2500000</c:v>
                </c:pt>
                <c:pt idx="11">
                  <c:v>1800000</c:v>
                </c:pt>
                <c:pt idx="12">
                  <c:v>1173604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12-414F-873D-51417D6BD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884943"/>
        <c:axId val="1493728272"/>
      </c:lineChart>
      <c:catAx>
        <c:axId val="167188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493728272"/>
        <c:crosses val="autoZero"/>
        <c:auto val="1"/>
        <c:lblAlgn val="ctr"/>
        <c:lblOffset val="100"/>
        <c:noMultiLvlLbl val="0"/>
      </c:catAx>
      <c:valAx>
        <c:axId val="149372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USD millions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&quot;$&quot;#,##0;[Red]\-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71884943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 S-Curve — Cumulative PV, EV and 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Cash_Burn_Rate!$J$4</c:f>
              <c:strCache>
                <c:ptCount val="1"/>
                <c:pt idx="0">
                  <c:v>Cumulative PV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Cash_Burn_Rate!$I$5:$I$17</c:f>
              <c:strCache>
                <c:ptCount val="13"/>
                <c:pt idx="0">
                  <c:v>M1 (Jan 26)</c:v>
                </c:pt>
                <c:pt idx="1">
                  <c:v>M2 (Feb 26)</c:v>
                </c:pt>
                <c:pt idx="2">
                  <c:v>M3 (Mar 26)</c:v>
                </c:pt>
                <c:pt idx="3">
                  <c:v>M4 (Apr 26)</c:v>
                </c:pt>
                <c:pt idx="4">
                  <c:v>M5 (May 26)</c:v>
                </c:pt>
                <c:pt idx="5">
                  <c:v>M6 (Jun 26)</c:v>
                </c:pt>
                <c:pt idx="6">
                  <c:v>M7 (Jul 26)</c:v>
                </c:pt>
                <c:pt idx="7">
                  <c:v>M8 (Aug 26 - Now)</c:v>
                </c:pt>
                <c:pt idx="8">
                  <c:v>M9 (Sep 26 - Burn)</c:v>
                </c:pt>
                <c:pt idx="9">
                  <c:v>M10 (Oct 26)</c:v>
                </c:pt>
                <c:pt idx="10">
                  <c:v>M11 (Nov 26)</c:v>
                </c:pt>
                <c:pt idx="11">
                  <c:v>M12 (Dec 26)</c:v>
                </c:pt>
                <c:pt idx="12">
                  <c:v>M13 (Jan 27 - COD)</c:v>
                </c:pt>
              </c:strCache>
            </c:strRef>
          </c:cat>
          <c:val>
            <c:numRef>
              <c:f>Cash_Burn_Rate!$J$5:$J$17</c:f>
              <c:numCache>
                <c:formatCode>"$"#,##0</c:formatCode>
                <c:ptCount val="13"/>
                <c:pt idx="0">
                  <c:v>300000</c:v>
                </c:pt>
                <c:pt idx="1">
                  <c:v>1200000</c:v>
                </c:pt>
                <c:pt idx="2">
                  <c:v>3900000</c:v>
                </c:pt>
                <c:pt idx="3">
                  <c:v>7700000</c:v>
                </c:pt>
                <c:pt idx="4">
                  <c:v>10700000</c:v>
                </c:pt>
                <c:pt idx="5">
                  <c:v>14700000</c:v>
                </c:pt>
                <c:pt idx="6">
                  <c:v>17700000</c:v>
                </c:pt>
                <c:pt idx="7">
                  <c:v>20500000</c:v>
                </c:pt>
                <c:pt idx="8">
                  <c:v>23000000</c:v>
                </c:pt>
                <c:pt idx="9">
                  <c:v>24500000</c:v>
                </c:pt>
                <c:pt idx="10">
                  <c:v>25500000</c:v>
                </c:pt>
                <c:pt idx="11">
                  <c:v>26500000</c:v>
                </c:pt>
                <c:pt idx="12">
                  <c:v>26500000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42-4767-8C13-7F9183205561}"/>
            </c:ext>
          </c:extLst>
        </c:ser>
        <c:ser>
          <c:idx val="1"/>
          <c:order val="1"/>
          <c:tx>
            <c:strRef>
              <c:f>Cash_Burn_Rate!$K$4</c:f>
              <c:strCache>
                <c:ptCount val="1"/>
                <c:pt idx="0">
                  <c:v>Cumulative EV</c:v>
                </c:pt>
              </c:strCache>
            </c:strRef>
          </c:tx>
          <c:spPr>
            <a:ln w="28575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Cash_Burn_Rate!$I$5:$I$17</c:f>
              <c:strCache>
                <c:ptCount val="13"/>
                <c:pt idx="0">
                  <c:v>M1 (Jan 26)</c:v>
                </c:pt>
                <c:pt idx="1">
                  <c:v>M2 (Feb 26)</c:v>
                </c:pt>
                <c:pt idx="2">
                  <c:v>M3 (Mar 26)</c:v>
                </c:pt>
                <c:pt idx="3">
                  <c:v>M4 (Apr 26)</c:v>
                </c:pt>
                <c:pt idx="4">
                  <c:v>M5 (May 26)</c:v>
                </c:pt>
                <c:pt idx="5">
                  <c:v>M6 (Jun 26)</c:v>
                </c:pt>
                <c:pt idx="6">
                  <c:v>M7 (Jul 26)</c:v>
                </c:pt>
                <c:pt idx="7">
                  <c:v>M8 (Aug 26 - Now)</c:v>
                </c:pt>
                <c:pt idx="8">
                  <c:v>M9 (Sep 26 - Burn)</c:v>
                </c:pt>
                <c:pt idx="9">
                  <c:v>M10 (Oct 26)</c:v>
                </c:pt>
                <c:pt idx="10">
                  <c:v>M11 (Nov 26)</c:v>
                </c:pt>
                <c:pt idx="11">
                  <c:v>M12 (Dec 26)</c:v>
                </c:pt>
                <c:pt idx="12">
                  <c:v>M13 (Jan 27 - COD)</c:v>
                </c:pt>
              </c:strCache>
            </c:strRef>
          </c:cat>
          <c:val>
            <c:numRef>
              <c:f>Cash_Burn_Rate!$K$5:$K$17</c:f>
              <c:numCache>
                <c:formatCode>"$"#,##0</c:formatCode>
                <c:ptCount val="13"/>
                <c:pt idx="0">
                  <c:v>300000</c:v>
                </c:pt>
                <c:pt idx="1">
                  <c:v>1140000</c:v>
                </c:pt>
                <c:pt idx="2">
                  <c:v>3400000</c:v>
                </c:pt>
                <c:pt idx="3">
                  <c:v>6920000</c:v>
                </c:pt>
                <c:pt idx="4">
                  <c:v>9820000</c:v>
                </c:pt>
                <c:pt idx="5">
                  <c:v>12570000</c:v>
                </c:pt>
                <c:pt idx="6">
                  <c:v>15190000</c:v>
                </c:pt>
                <c:pt idx="7">
                  <c:v>17540000</c:v>
                </c:pt>
                <c:pt idx="8">
                  <c:v>19640000</c:v>
                </c:pt>
                <c:pt idx="9">
                  <c:v>21840000</c:v>
                </c:pt>
                <c:pt idx="10">
                  <c:v>23840000</c:v>
                </c:pt>
                <c:pt idx="11">
                  <c:v>25640000</c:v>
                </c:pt>
                <c:pt idx="12">
                  <c:v>26500000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42-4767-8C13-7F9183205561}"/>
            </c:ext>
          </c:extLst>
        </c:ser>
        <c:ser>
          <c:idx val="2"/>
          <c:order val="2"/>
          <c:tx>
            <c:strRef>
              <c:f>Cash_Burn_Rate!$L$4</c:f>
              <c:strCache>
                <c:ptCount val="1"/>
                <c:pt idx="0">
                  <c:v>Cumulative AC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Cash_Burn_Rate!$I$5:$I$17</c:f>
              <c:strCache>
                <c:ptCount val="13"/>
                <c:pt idx="0">
                  <c:v>M1 (Jan 26)</c:v>
                </c:pt>
                <c:pt idx="1">
                  <c:v>M2 (Feb 26)</c:v>
                </c:pt>
                <c:pt idx="2">
                  <c:v>M3 (Mar 26)</c:v>
                </c:pt>
                <c:pt idx="3">
                  <c:v>M4 (Apr 26)</c:v>
                </c:pt>
                <c:pt idx="4">
                  <c:v>M5 (May 26)</c:v>
                </c:pt>
                <c:pt idx="5">
                  <c:v>M6 (Jun 26)</c:v>
                </c:pt>
                <c:pt idx="6">
                  <c:v>M7 (Jul 26)</c:v>
                </c:pt>
                <c:pt idx="7">
                  <c:v>M8 (Aug 26 - Now)</c:v>
                </c:pt>
                <c:pt idx="8">
                  <c:v>M9 (Sep 26 - Burn)</c:v>
                </c:pt>
                <c:pt idx="9">
                  <c:v>M10 (Oct 26)</c:v>
                </c:pt>
                <c:pt idx="10">
                  <c:v>M11 (Nov 26)</c:v>
                </c:pt>
                <c:pt idx="11">
                  <c:v>M12 (Dec 26)</c:v>
                </c:pt>
                <c:pt idx="12">
                  <c:v>M13 (Jan 27 - COD)</c:v>
                </c:pt>
              </c:strCache>
            </c:strRef>
          </c:cat>
          <c:val>
            <c:numRef>
              <c:f>Cash_Burn_Rate!$L$5:$L$17</c:f>
              <c:numCache>
                <c:formatCode>"$"#,##0</c:formatCode>
                <c:ptCount val="13"/>
                <c:pt idx="0">
                  <c:v>320000</c:v>
                </c:pt>
                <c:pt idx="1">
                  <c:v>1270000</c:v>
                </c:pt>
                <c:pt idx="2">
                  <c:v>4170000</c:v>
                </c:pt>
                <c:pt idx="3">
                  <c:v>8220000</c:v>
                </c:pt>
                <c:pt idx="4">
                  <c:v>11440000</c:v>
                </c:pt>
                <c:pt idx="5">
                  <c:v>15890000</c:v>
                </c:pt>
                <c:pt idx="6">
                  <c:v>19740000</c:v>
                </c:pt>
                <c:pt idx="7">
                  <c:v>23440000</c:v>
                </c:pt>
                <c:pt idx="8">
                  <c:v>26640000</c:v>
                </c:pt>
                <c:pt idx="9">
                  <c:v>29940000</c:v>
                </c:pt>
                <c:pt idx="10">
                  <c:v>32440000</c:v>
                </c:pt>
                <c:pt idx="11">
                  <c:v>34240000</c:v>
                </c:pt>
                <c:pt idx="12">
                  <c:v>35413604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42-4767-8C13-7F9183205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1924367"/>
        <c:axId val="1493784912"/>
      </c:lineChart>
      <c:catAx>
        <c:axId val="1721924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Reporting period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493784912"/>
        <c:crosses val="autoZero"/>
        <c:auto val="1"/>
        <c:lblAlgn val="ctr"/>
        <c:lblOffset val="100"/>
        <c:noMultiLvlLbl val="0"/>
      </c:catAx>
      <c:valAx>
        <c:axId val="149378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Cumulative value (USD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721924367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Outturn by Confidence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Monte_Carlo_P90!$J$4</c:f>
              <c:strCache>
                <c:ptCount val="1"/>
                <c:pt idx="0">
                  <c:v>Cost Outturn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Monte_Carlo_P90!$I$5:$I$9</c:f>
              <c:strCache>
                <c:ptCount val="5"/>
                <c:pt idx="0">
                  <c:v>P10</c:v>
                </c:pt>
                <c:pt idx="1">
                  <c:v>P50</c:v>
                </c:pt>
                <c:pt idx="2">
                  <c:v>P80</c:v>
                </c:pt>
                <c:pt idx="3">
                  <c:v>P90</c:v>
                </c:pt>
                <c:pt idx="4">
                  <c:v>P95</c:v>
                </c:pt>
              </c:strCache>
            </c:strRef>
          </c:cat>
          <c:val>
            <c:numRef>
              <c:f>Monte_Carlo_P90!$J$5:$J$9</c:f>
              <c:numCache>
                <c:formatCode>"$"#,##0</c:formatCode>
                <c:ptCount val="5"/>
                <c:pt idx="0">
                  <c:v>32444302</c:v>
                </c:pt>
                <c:pt idx="1">
                  <c:v>34060783</c:v>
                </c:pt>
                <c:pt idx="2">
                  <c:v>35195026</c:v>
                </c:pt>
                <c:pt idx="3">
                  <c:v>35815202</c:v>
                </c:pt>
                <c:pt idx="4">
                  <c:v>36272986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2-4822-80FB-59134057B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970495"/>
        <c:axId val="1493785872"/>
      </c:lineChart>
      <c:catAx>
        <c:axId val="1650970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493785872"/>
        <c:crosses val="autoZero"/>
        <c:auto val="1"/>
        <c:lblAlgn val="ctr"/>
        <c:lblOffset val="100"/>
        <c:noMultiLvlLbl val="0"/>
      </c:catAx>
      <c:valAx>
        <c:axId val="149378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5097049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b-NO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Duration by Confidence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Monte_Carlo_P90!$M$4</c:f>
              <c:strCache>
                <c:ptCount val="1"/>
                <c:pt idx="0">
                  <c:v>Duration Days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Monte_Carlo_P90!$L$5:$L$9</c:f>
              <c:strCache>
                <c:ptCount val="5"/>
                <c:pt idx="0">
                  <c:v>P10</c:v>
                </c:pt>
                <c:pt idx="1">
                  <c:v>P50</c:v>
                </c:pt>
                <c:pt idx="2">
                  <c:v>P80</c:v>
                </c:pt>
                <c:pt idx="3">
                  <c:v>P90</c:v>
                </c:pt>
                <c:pt idx="4">
                  <c:v>P95</c:v>
                </c:pt>
              </c:strCache>
            </c:strRef>
          </c:cat>
          <c:val>
            <c:numRef>
              <c:f>Monte_Carlo_P90!$M$5:$M$9</c:f>
              <c:numCache>
                <c:formatCode>0.0</c:formatCode>
                <c:ptCount val="5"/>
                <c:pt idx="0">
                  <c:v>408.1</c:v>
                </c:pt>
                <c:pt idx="1">
                  <c:v>422.3</c:v>
                </c:pt>
                <c:pt idx="2">
                  <c:v>432.3</c:v>
                </c:pt>
                <c:pt idx="3">
                  <c:v>437.5</c:v>
                </c:pt>
                <c:pt idx="4">
                  <c:v>441.6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81-4195-BCB9-0C6AB1C6B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912783"/>
        <c:axId val="1493707152"/>
      </c:lineChart>
      <c:catAx>
        <c:axId val="1671912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493707152"/>
        <c:crosses val="autoZero"/>
        <c:auto val="1"/>
        <c:lblAlgn val="ctr"/>
        <c:lblOffset val="100"/>
        <c:noMultiLvlLbl val="0"/>
      </c:catAx>
      <c:valAx>
        <c:axId val="149370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71912783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Budget to Forecast Cost Bridge</cx:v>
        </cx:txData>
      </cx:tx>
    </cx:title>
    <cx:plotArea>
      <cx:plotAreaRegion>
        <cx:series layoutId="waterfall" uniqueId="{00000001-F455-40B2-99BE-FD5E5924510B}">
          <cx:tx>
            <cx:txData>
              <cx:f>_xlchart.v1.1</cx:f>
              <cx:v>Incremental Cost</cx:v>
            </cx:txData>
          </cx:tx>
          <cx:dataLabels pos="outEnd">
            <cx:visibility seriesName="0" categoryName="0" value="0"/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5"/>
        <cx:tickLabels/>
      </cx:axis>
      <cx:axis id="1">
        <cx:valScaling/>
        <cx:units unit="millions">
          <cx:unitsLabel>
            <cx:tx>
              <cx:txData>
                <cx:v>Millions</cx:v>
              </cx:txData>
            </cx:tx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rgbClr val="7F7F7F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nb-NO"/>
                  <a:t>Millions</a:t>
                </a:r>
              </a:p>
            </cx:txPr>
          </cx:unitsLabel>
        </cx:units>
        <cx:majorGridlines/>
        <cx:tickLabels/>
      </cx:axis>
    </cx:plotArea>
  </cx:chart>
  <cx:spPr>
    <a:solidFill>
      <a:srgbClr val="FFFFFF"/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6350</xdr:rowOff>
    </xdr:from>
    <xdr:to>
      <xdr:col>11</xdr:col>
      <xdr:colOff>0</xdr:colOff>
      <xdr:row>16</xdr:row>
      <xdr:rowOff>44450</xdr:rowOff>
    </xdr:to>
    <xdr:graphicFrame macro="">
      <xdr:nvGraphicFramePr>
        <xdr:cNvPr id="2" name="EVM Snapshot">
          <a:extLst>
            <a:ext uri="{FF2B5EF4-FFF2-40B4-BE49-F238E27FC236}">
              <a16:creationId xmlns:a16="http://schemas.microsoft.com/office/drawing/2014/main" id="{15CD54CF-45AB-3B27-0794-B6EDE83B4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28575</xdr:rowOff>
    </xdr:from>
    <xdr:to>
      <xdr:col>11</xdr:col>
      <xdr:colOff>3175</xdr:colOff>
      <xdr:row>28</xdr:row>
      <xdr:rowOff>82550</xdr:rowOff>
    </xdr:to>
    <xdr:graphicFrame macro="">
      <xdr:nvGraphicFramePr>
        <xdr:cNvPr id="2" name="Risk Score Ranking">
          <a:extLst>
            <a:ext uri="{FF2B5EF4-FFF2-40B4-BE49-F238E27FC236}">
              <a16:creationId xmlns:a16="http://schemas.microsoft.com/office/drawing/2014/main" id="{0850EF1F-A847-BA39-21D3-85F09C3FA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44450</xdr:rowOff>
    </xdr:from>
    <xdr:to>
      <xdr:col>8</xdr:col>
      <xdr:colOff>6350</xdr:colOff>
      <xdr:row>32</xdr:row>
      <xdr:rowOff>101600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ost Outturn Bridge">
              <a:extLst>
                <a:ext uri="{FF2B5EF4-FFF2-40B4-BE49-F238E27FC236}">
                  <a16:creationId xmlns:a16="http://schemas.microsoft.com/office/drawing/2014/main" id="{E45CE270-CCEE-6C0A-2A47-49B58D822B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140075"/>
              <a:ext cx="18141950" cy="2952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57150</xdr:rowOff>
    </xdr:from>
    <xdr:to>
      <xdr:col>7</xdr:col>
      <xdr:colOff>600075</xdr:colOff>
      <xdr:row>36</xdr:row>
      <xdr:rowOff>111125</xdr:rowOff>
    </xdr:to>
    <xdr:graphicFrame macro="">
      <xdr:nvGraphicFramePr>
        <xdr:cNvPr id="2" name="Monthly Cash Performance">
          <a:extLst>
            <a:ext uri="{FF2B5EF4-FFF2-40B4-BE49-F238E27FC236}">
              <a16:creationId xmlns:a16="http://schemas.microsoft.com/office/drawing/2014/main" id="{BB635A7B-7578-E6F3-579E-1292DFA883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38</xdr:row>
      <xdr:rowOff>120650</xdr:rowOff>
    </xdr:from>
    <xdr:to>
      <xdr:col>8</xdr:col>
      <xdr:colOff>6350</xdr:colOff>
      <xdr:row>57</xdr:row>
      <xdr:rowOff>0</xdr:rowOff>
    </xdr:to>
    <xdr:graphicFrame macro="">
      <xdr:nvGraphicFramePr>
        <xdr:cNvPr id="3" name="Project S-Curve">
          <a:extLst>
            <a:ext uri="{FF2B5EF4-FFF2-40B4-BE49-F238E27FC236}">
              <a16:creationId xmlns:a16="http://schemas.microsoft.com/office/drawing/2014/main" id="{5E06E2D0-12C1-FD5B-C820-275876823B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28575</xdr:rowOff>
    </xdr:from>
    <xdr:to>
      <xdr:col>7</xdr:col>
      <xdr:colOff>1597025</xdr:colOff>
      <xdr:row>26</xdr:row>
      <xdr:rowOff>73025</xdr:rowOff>
    </xdr:to>
    <xdr:graphicFrame macro="">
      <xdr:nvGraphicFramePr>
        <xdr:cNvPr id="2" name="Probabilistic Cost Outturn">
          <a:extLst>
            <a:ext uri="{FF2B5EF4-FFF2-40B4-BE49-F238E27FC236}">
              <a16:creationId xmlns:a16="http://schemas.microsoft.com/office/drawing/2014/main" id="{5257F006-01C3-3AA3-2EF3-D533962287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82550</xdr:rowOff>
    </xdr:from>
    <xdr:to>
      <xdr:col>7</xdr:col>
      <xdr:colOff>1597025</xdr:colOff>
      <xdr:row>43</xdr:row>
      <xdr:rowOff>133350</xdr:rowOff>
    </xdr:to>
    <xdr:graphicFrame macro="">
      <xdr:nvGraphicFramePr>
        <xdr:cNvPr id="3" name="Probabilistic Duration">
          <a:extLst>
            <a:ext uri="{FF2B5EF4-FFF2-40B4-BE49-F238E27FC236}">
              <a16:creationId xmlns:a16="http://schemas.microsoft.com/office/drawing/2014/main" id="{691F2CB1-2477-D1B3-8DB7-D375C9F2B1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1DFE3-E21C-4BD7-B4ED-95C6979A0A21}">
  <dimension ref="A1:B16"/>
  <sheetViews>
    <sheetView workbookViewId="0">
      <selection sqref="A1:B1"/>
    </sheetView>
  </sheetViews>
  <sheetFormatPr defaultRowHeight="14.5" x14ac:dyDescent="0.35"/>
  <cols>
    <col min="1" max="1" width="36.36328125" customWidth="1"/>
    <col min="2" max="2" width="63.6328125" customWidth="1"/>
  </cols>
  <sheetData>
    <row r="1" spans="1:2" ht="32" customHeight="1" x14ac:dyDescent="0.55000000000000004">
      <c r="A1" s="1" t="s">
        <v>343</v>
      </c>
      <c r="B1" s="1"/>
    </row>
    <row r="2" spans="1:2" x14ac:dyDescent="0.35">
      <c r="A2" s="2" t="s">
        <v>344</v>
      </c>
      <c r="B2" s="2"/>
    </row>
    <row r="4" spans="1:2" x14ac:dyDescent="0.35">
      <c r="A4" s="3" t="s">
        <v>345</v>
      </c>
      <c r="B4" s="3"/>
    </row>
    <row r="6" spans="1:2" ht="116" x14ac:dyDescent="0.35">
      <c r="A6" s="4" t="s">
        <v>346</v>
      </c>
      <c r="B6" s="6" t="s">
        <v>347</v>
      </c>
    </row>
    <row r="7" spans="1:2" ht="87" x14ac:dyDescent="0.35">
      <c r="A7" s="4" t="s">
        <v>348</v>
      </c>
      <c r="B7" s="6" t="s">
        <v>349</v>
      </c>
    </row>
    <row r="8" spans="1:2" ht="101.5" x14ac:dyDescent="0.35">
      <c r="A8" s="4" t="s">
        <v>350</v>
      </c>
      <c r="B8" s="6" t="s">
        <v>351</v>
      </c>
    </row>
    <row r="9" spans="1:2" ht="87" x14ac:dyDescent="0.35">
      <c r="A9" s="4" t="s">
        <v>352</v>
      </c>
      <c r="B9" s="6" t="s">
        <v>353</v>
      </c>
    </row>
    <row r="10" spans="1:2" ht="116" x14ac:dyDescent="0.35">
      <c r="A10" s="4" t="s">
        <v>354</v>
      </c>
      <c r="B10" s="6" t="s">
        <v>355</v>
      </c>
    </row>
    <row r="11" spans="1:2" ht="87" x14ac:dyDescent="0.35">
      <c r="A11" s="4" t="s">
        <v>356</v>
      </c>
      <c r="B11" s="6" t="s">
        <v>357</v>
      </c>
    </row>
    <row r="12" spans="1:2" ht="101.5" x14ac:dyDescent="0.35">
      <c r="A12" s="4" t="s">
        <v>358</v>
      </c>
      <c r="B12" s="6" t="s">
        <v>359</v>
      </c>
    </row>
    <row r="13" spans="1:2" ht="101.5" x14ac:dyDescent="0.35">
      <c r="A13" s="4" t="s">
        <v>360</v>
      </c>
      <c r="B13" s="6" t="s">
        <v>361</v>
      </c>
    </row>
    <row r="14" spans="1:2" ht="116" x14ac:dyDescent="0.35">
      <c r="A14" s="4" t="s">
        <v>362</v>
      </c>
      <c r="B14" s="6" t="s">
        <v>363</v>
      </c>
    </row>
    <row r="15" spans="1:2" ht="101.5" x14ac:dyDescent="0.35">
      <c r="A15" s="4" t="s">
        <v>364</v>
      </c>
      <c r="B15" s="6" t="s">
        <v>365</v>
      </c>
    </row>
    <row r="16" spans="1:2" ht="116" x14ac:dyDescent="0.35">
      <c r="A16" s="5" t="s">
        <v>366</v>
      </c>
      <c r="B16" s="7" t="s">
        <v>367</v>
      </c>
    </row>
  </sheetData>
  <mergeCells count="3">
    <mergeCell ref="A1:B1"/>
    <mergeCell ref="A2:B2"/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"/>
  <sheetViews>
    <sheetView tabSelected="1" workbookViewId="0">
      <selection activeCell="M15" sqref="M15"/>
    </sheetView>
  </sheetViews>
  <sheetFormatPr defaultRowHeight="14.5" x14ac:dyDescent="0.35"/>
  <cols>
    <col min="1" max="1" width="26.36328125" customWidth="1"/>
    <col min="2" max="2" width="14.54296875" customWidth="1"/>
    <col min="3" max="3" width="34.54296875" customWidth="1"/>
    <col min="4" max="5" width="16.36328125" customWidth="1"/>
    <col min="6" max="11" width="7.26953125" customWidth="1"/>
  </cols>
  <sheetData>
    <row r="1" spans="1:11" ht="30" customHeight="1" x14ac:dyDescent="0.5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x14ac:dyDescent="0.35">
      <c r="A2" s="9" t="s">
        <v>368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spans="1:11" ht="29" x14ac:dyDescent="0.35">
      <c r="A3" s="11" t="s">
        <v>1</v>
      </c>
      <c r="B3" s="11" t="s">
        <v>2</v>
      </c>
      <c r="C3" s="11" t="s">
        <v>3</v>
      </c>
    </row>
    <row r="4" spans="1:11" x14ac:dyDescent="0.35">
      <c r="A4" s="12" t="s">
        <v>4</v>
      </c>
      <c r="B4" s="16">
        <v>26500000</v>
      </c>
      <c r="C4" s="13" t="s">
        <v>5</v>
      </c>
    </row>
    <row r="5" spans="1:11" x14ac:dyDescent="0.35">
      <c r="A5" s="14" t="s">
        <v>6</v>
      </c>
      <c r="B5" s="17">
        <v>20500000</v>
      </c>
      <c r="C5" s="15" t="s">
        <v>7</v>
      </c>
    </row>
    <row r="6" spans="1:11" x14ac:dyDescent="0.35">
      <c r="A6" s="12" t="s">
        <v>8</v>
      </c>
      <c r="B6" s="16">
        <v>17540000</v>
      </c>
      <c r="C6" s="13" t="s">
        <v>9</v>
      </c>
    </row>
    <row r="7" spans="1:11" x14ac:dyDescent="0.35">
      <c r="A7" s="14" t="s">
        <v>10</v>
      </c>
      <c r="B7" s="17">
        <v>23440000</v>
      </c>
      <c r="C7" s="15" t="s">
        <v>11</v>
      </c>
    </row>
    <row r="8" spans="1:11" x14ac:dyDescent="0.35">
      <c r="A8" s="12" t="s">
        <v>12</v>
      </c>
      <c r="B8" s="21">
        <v>-5900000</v>
      </c>
      <c r="C8" s="13" t="s">
        <v>13</v>
      </c>
    </row>
    <row r="9" spans="1:11" x14ac:dyDescent="0.35">
      <c r="A9" s="14" t="s">
        <v>14</v>
      </c>
      <c r="B9" s="21">
        <v>-2960000</v>
      </c>
      <c r="C9" s="15" t="s">
        <v>15</v>
      </c>
    </row>
    <row r="10" spans="1:11" x14ac:dyDescent="0.35">
      <c r="A10" s="12" t="s">
        <v>16</v>
      </c>
      <c r="B10" s="22">
        <v>0.74829999999999997</v>
      </c>
      <c r="C10" s="13" t="s">
        <v>17</v>
      </c>
    </row>
    <row r="11" spans="1:11" x14ac:dyDescent="0.35">
      <c r="A11" s="14" t="s">
        <v>18</v>
      </c>
      <c r="B11" s="22">
        <v>0.85560000000000003</v>
      </c>
      <c r="C11" s="15" t="s">
        <v>19</v>
      </c>
    </row>
    <row r="12" spans="1:11" x14ac:dyDescent="0.35">
      <c r="A12" s="12" t="s">
        <v>20</v>
      </c>
      <c r="B12" s="21">
        <v>35413604</v>
      </c>
      <c r="C12" s="13" t="s">
        <v>21</v>
      </c>
    </row>
    <row r="13" spans="1:11" x14ac:dyDescent="0.35">
      <c r="A13" s="14" t="s">
        <v>22</v>
      </c>
      <c r="B13" s="21">
        <v>-8913604</v>
      </c>
      <c r="C13" s="15" t="s">
        <v>23</v>
      </c>
    </row>
    <row r="14" spans="1:11" x14ac:dyDescent="0.35">
      <c r="A14" s="12" t="s">
        <v>24</v>
      </c>
      <c r="B14" s="18">
        <v>7.4</v>
      </c>
      <c r="C14" s="13" t="s">
        <v>25</v>
      </c>
    </row>
    <row r="15" spans="1:11" x14ac:dyDescent="0.35">
      <c r="A15" s="14" t="s">
        <v>26</v>
      </c>
      <c r="B15" s="22">
        <v>0.92500000000000004</v>
      </c>
      <c r="C15" s="15" t="s">
        <v>27</v>
      </c>
    </row>
    <row r="18" spans="1:5" ht="15.5" x14ac:dyDescent="0.35">
      <c r="A18" s="10" t="s">
        <v>28</v>
      </c>
      <c r="B18" s="10"/>
      <c r="C18" s="10"/>
      <c r="D18" s="10"/>
      <c r="E18" s="10"/>
    </row>
    <row r="20" spans="1:5" ht="29" x14ac:dyDescent="0.35">
      <c r="A20" s="11" t="s">
        <v>29</v>
      </c>
      <c r="B20" s="11" t="s">
        <v>30</v>
      </c>
      <c r="C20" s="11" t="s">
        <v>31</v>
      </c>
      <c r="D20" s="11" t="s">
        <v>32</v>
      </c>
      <c r="E20" s="11" t="s">
        <v>33</v>
      </c>
    </row>
    <row r="21" spans="1:5" x14ac:dyDescent="0.35">
      <c r="A21" s="12" t="s">
        <v>34</v>
      </c>
      <c r="B21" s="13" t="s">
        <v>35</v>
      </c>
      <c r="C21" s="13" t="s">
        <v>36</v>
      </c>
      <c r="D21" s="13" t="s">
        <v>37</v>
      </c>
      <c r="E21" s="19">
        <v>1200000</v>
      </c>
    </row>
    <row r="22" spans="1:5" x14ac:dyDescent="0.35">
      <c r="A22" s="14" t="s">
        <v>38</v>
      </c>
      <c r="B22" s="15" t="s">
        <v>39</v>
      </c>
      <c r="C22" s="15" t="s">
        <v>40</v>
      </c>
      <c r="D22" s="15" t="s">
        <v>37</v>
      </c>
      <c r="E22" s="20">
        <v>1800000</v>
      </c>
    </row>
    <row r="23" spans="1:5" x14ac:dyDescent="0.35">
      <c r="A23" s="12" t="s">
        <v>41</v>
      </c>
      <c r="B23" s="13" t="s">
        <v>42</v>
      </c>
      <c r="C23" s="13" t="s">
        <v>43</v>
      </c>
      <c r="D23" s="13" t="s">
        <v>44</v>
      </c>
      <c r="E23" s="19">
        <v>3500000</v>
      </c>
    </row>
    <row r="24" spans="1:5" x14ac:dyDescent="0.35">
      <c r="A24" s="14" t="s">
        <v>45</v>
      </c>
      <c r="B24" s="15" t="s">
        <v>46</v>
      </c>
      <c r="C24" s="15" t="s">
        <v>47</v>
      </c>
      <c r="D24" s="15" t="s">
        <v>44</v>
      </c>
      <c r="E24" s="20">
        <v>4200000</v>
      </c>
    </row>
    <row r="25" spans="1:5" x14ac:dyDescent="0.35">
      <c r="A25" s="12" t="s">
        <v>48</v>
      </c>
      <c r="B25" s="13" t="s">
        <v>49</v>
      </c>
      <c r="C25" s="13" t="s">
        <v>50</v>
      </c>
      <c r="D25" s="13" t="s">
        <v>51</v>
      </c>
      <c r="E25" s="19">
        <v>4000000</v>
      </c>
    </row>
    <row r="26" spans="1:5" x14ac:dyDescent="0.35">
      <c r="A26" s="14" t="s">
        <v>52</v>
      </c>
      <c r="B26" s="15" t="s">
        <v>53</v>
      </c>
      <c r="C26" s="15" t="s">
        <v>54</v>
      </c>
      <c r="D26" s="15" t="s">
        <v>51</v>
      </c>
      <c r="E26" s="20">
        <v>4800000</v>
      </c>
    </row>
    <row r="27" spans="1:5" x14ac:dyDescent="0.35">
      <c r="A27" s="12" t="s">
        <v>55</v>
      </c>
      <c r="B27" s="13" t="s">
        <v>56</v>
      </c>
      <c r="C27" s="13" t="s">
        <v>57</v>
      </c>
      <c r="D27" s="13" t="s">
        <v>58</v>
      </c>
      <c r="E27" s="19">
        <v>2500000</v>
      </c>
    </row>
    <row r="28" spans="1:5" x14ac:dyDescent="0.35">
      <c r="A28" s="14" t="s">
        <v>59</v>
      </c>
      <c r="B28" s="15" t="s">
        <v>60</v>
      </c>
      <c r="C28" s="15" t="s">
        <v>61</v>
      </c>
      <c r="D28" s="15" t="s">
        <v>58</v>
      </c>
      <c r="E28" s="20">
        <v>2000000</v>
      </c>
    </row>
    <row r="29" spans="1:5" x14ac:dyDescent="0.35">
      <c r="A29" s="12" t="s">
        <v>62</v>
      </c>
      <c r="B29" s="13" t="s">
        <v>63</v>
      </c>
      <c r="C29" s="13" t="s">
        <v>64</v>
      </c>
      <c r="D29" s="13" t="s">
        <v>65</v>
      </c>
      <c r="E29" s="19">
        <v>1000000</v>
      </c>
    </row>
    <row r="30" spans="1:5" x14ac:dyDescent="0.35">
      <c r="A30" s="14" t="s">
        <v>66</v>
      </c>
      <c r="B30" s="15" t="s">
        <v>67</v>
      </c>
      <c r="C30" s="15" t="s">
        <v>68</v>
      </c>
      <c r="D30" s="15" t="s">
        <v>65</v>
      </c>
      <c r="E30" s="20">
        <v>1500000</v>
      </c>
    </row>
    <row r="31" spans="1:5" x14ac:dyDescent="0.35">
      <c r="A31" s="23" t="s">
        <v>69</v>
      </c>
      <c r="B31" s="25"/>
      <c r="C31" s="23" t="s">
        <v>70</v>
      </c>
      <c r="D31" s="25"/>
      <c r="E31" s="24">
        <f>SUM(E21:E30)</f>
        <v>26500000</v>
      </c>
    </row>
  </sheetData>
  <mergeCells count="3">
    <mergeCell ref="A1:K1"/>
    <mergeCell ref="A2:K2"/>
    <mergeCell ref="A18:E18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"/>
  <sheetViews>
    <sheetView workbookViewId="0">
      <selection activeCell="C8" sqref="C8"/>
    </sheetView>
  </sheetViews>
  <sheetFormatPr defaultRowHeight="14.5" x14ac:dyDescent="0.35"/>
  <cols>
    <col min="1" max="2" width="11.81640625" customWidth="1"/>
    <col min="3" max="3" width="36.36328125" customWidth="1"/>
    <col min="4" max="16" width="14.1796875" customWidth="1"/>
  </cols>
  <sheetData>
    <row r="1" spans="1:16" x14ac:dyDescent="0.35">
      <c r="A1" s="11" t="s">
        <v>71</v>
      </c>
      <c r="B1" s="11" t="s">
        <v>30</v>
      </c>
      <c r="C1" s="11" t="s">
        <v>31</v>
      </c>
      <c r="D1" s="11" t="s">
        <v>72</v>
      </c>
      <c r="E1" s="11" t="s">
        <v>73</v>
      </c>
      <c r="F1" s="11" t="s">
        <v>74</v>
      </c>
      <c r="G1" s="11" t="s">
        <v>75</v>
      </c>
      <c r="H1" s="11" t="s">
        <v>76</v>
      </c>
      <c r="I1" s="11" t="s">
        <v>77</v>
      </c>
      <c r="J1" s="11" t="s">
        <v>78</v>
      </c>
      <c r="K1" s="11" t="s">
        <v>79</v>
      </c>
      <c r="L1" s="11" t="s">
        <v>80</v>
      </c>
      <c r="M1" s="11" t="s">
        <v>81</v>
      </c>
      <c r="N1" s="11" t="s">
        <v>82</v>
      </c>
      <c r="O1" s="11" t="s">
        <v>83</v>
      </c>
      <c r="P1" s="11" t="s">
        <v>84</v>
      </c>
    </row>
    <row r="2" spans="1:16" x14ac:dyDescent="0.35">
      <c r="A2" s="26" t="s">
        <v>34</v>
      </c>
      <c r="B2" s="26" t="s">
        <v>35</v>
      </c>
      <c r="C2" s="27" t="s">
        <v>36</v>
      </c>
      <c r="D2" s="32">
        <v>1200000</v>
      </c>
      <c r="E2" s="32">
        <v>300000</v>
      </c>
      <c r="F2" s="32">
        <v>500000</v>
      </c>
      <c r="G2" s="32">
        <v>400000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</row>
    <row r="3" spans="1:16" x14ac:dyDescent="0.35">
      <c r="A3" s="28" t="s">
        <v>38</v>
      </c>
      <c r="B3" s="28" t="s">
        <v>39</v>
      </c>
      <c r="C3" s="29" t="s">
        <v>40</v>
      </c>
      <c r="D3" s="33">
        <v>1800000</v>
      </c>
      <c r="E3" s="33">
        <v>0</v>
      </c>
      <c r="F3" s="33">
        <v>400000</v>
      </c>
      <c r="G3" s="33">
        <v>800000</v>
      </c>
      <c r="H3" s="33">
        <v>600000</v>
      </c>
      <c r="I3" s="33">
        <v>0</v>
      </c>
      <c r="J3" s="33">
        <v>0</v>
      </c>
      <c r="K3" s="33">
        <v>0</v>
      </c>
      <c r="L3" s="33">
        <v>0</v>
      </c>
      <c r="M3" s="33">
        <v>0</v>
      </c>
      <c r="N3" s="33">
        <v>0</v>
      </c>
      <c r="O3" s="33">
        <v>0</v>
      </c>
      <c r="P3" s="33">
        <v>0</v>
      </c>
    </row>
    <row r="4" spans="1:16" x14ac:dyDescent="0.35">
      <c r="A4" s="26" t="s">
        <v>41</v>
      </c>
      <c r="B4" s="26" t="s">
        <v>42</v>
      </c>
      <c r="C4" s="27" t="s">
        <v>43</v>
      </c>
      <c r="D4" s="32">
        <v>3500000</v>
      </c>
      <c r="E4" s="32">
        <v>0</v>
      </c>
      <c r="F4" s="32">
        <v>0</v>
      </c>
      <c r="G4" s="32">
        <v>1000000</v>
      </c>
      <c r="H4" s="32">
        <v>2000000</v>
      </c>
      <c r="I4" s="32">
        <v>500000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</row>
    <row r="5" spans="1:16" x14ac:dyDescent="0.35">
      <c r="A5" s="28" t="s">
        <v>45</v>
      </c>
      <c r="B5" s="28" t="s">
        <v>46</v>
      </c>
      <c r="C5" s="29" t="s">
        <v>47</v>
      </c>
      <c r="D5" s="33">
        <v>4200000</v>
      </c>
      <c r="E5" s="33">
        <v>0</v>
      </c>
      <c r="F5" s="33">
        <v>0</v>
      </c>
      <c r="G5" s="33">
        <v>500000</v>
      </c>
      <c r="H5" s="33">
        <v>1200000</v>
      </c>
      <c r="I5" s="33">
        <v>1500000</v>
      </c>
      <c r="J5" s="33">
        <v>1000000</v>
      </c>
      <c r="K5" s="33">
        <v>0</v>
      </c>
      <c r="L5" s="33">
        <v>0</v>
      </c>
      <c r="M5" s="33">
        <v>0</v>
      </c>
      <c r="N5" s="33">
        <v>0</v>
      </c>
      <c r="O5" s="33">
        <v>0</v>
      </c>
      <c r="P5" s="33">
        <v>0</v>
      </c>
    </row>
    <row r="6" spans="1:16" x14ac:dyDescent="0.35">
      <c r="A6" s="26" t="s">
        <v>48</v>
      </c>
      <c r="B6" s="26" t="s">
        <v>49</v>
      </c>
      <c r="C6" s="27" t="s">
        <v>50</v>
      </c>
      <c r="D6" s="32">
        <v>4000000</v>
      </c>
      <c r="E6" s="32">
        <v>0</v>
      </c>
      <c r="F6" s="32">
        <v>0</v>
      </c>
      <c r="G6" s="32">
        <v>0</v>
      </c>
      <c r="H6" s="32">
        <v>0</v>
      </c>
      <c r="I6" s="32">
        <v>1000000</v>
      </c>
      <c r="J6" s="32">
        <v>2000000</v>
      </c>
      <c r="K6" s="32">
        <v>1000000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</row>
    <row r="7" spans="1:16" x14ac:dyDescent="0.35">
      <c r="A7" s="28" t="s">
        <v>52</v>
      </c>
      <c r="B7" s="28" t="s">
        <v>53</v>
      </c>
      <c r="C7" s="29" t="s">
        <v>54</v>
      </c>
      <c r="D7" s="33">
        <v>4800000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1000000</v>
      </c>
      <c r="K7" s="33">
        <v>2000000</v>
      </c>
      <c r="L7" s="33">
        <v>1800000</v>
      </c>
      <c r="M7" s="33">
        <v>0</v>
      </c>
      <c r="N7" s="33">
        <v>0</v>
      </c>
      <c r="O7" s="33">
        <v>0</v>
      </c>
      <c r="P7" s="33">
        <v>0</v>
      </c>
    </row>
    <row r="8" spans="1:16" x14ac:dyDescent="0.35">
      <c r="A8" s="26" t="s">
        <v>55</v>
      </c>
      <c r="B8" s="26" t="s">
        <v>56</v>
      </c>
      <c r="C8" s="27" t="s">
        <v>57</v>
      </c>
      <c r="D8" s="32">
        <v>2500000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1000000</v>
      </c>
      <c r="M8" s="32">
        <v>1500000</v>
      </c>
      <c r="N8" s="32">
        <v>0</v>
      </c>
      <c r="O8" s="32">
        <v>0</v>
      </c>
      <c r="P8" s="32">
        <v>0</v>
      </c>
    </row>
    <row r="9" spans="1:16" x14ac:dyDescent="0.35">
      <c r="A9" s="28" t="s">
        <v>59</v>
      </c>
      <c r="B9" s="28" t="s">
        <v>60</v>
      </c>
      <c r="C9" s="29" t="s">
        <v>61</v>
      </c>
      <c r="D9" s="33">
        <v>2000000</v>
      </c>
      <c r="E9" s="33">
        <v>0</v>
      </c>
      <c r="F9" s="33">
        <v>0</v>
      </c>
      <c r="G9" s="33">
        <v>0</v>
      </c>
      <c r="H9" s="33">
        <v>0</v>
      </c>
      <c r="I9" s="33">
        <v>0</v>
      </c>
      <c r="J9" s="33">
        <v>0</v>
      </c>
      <c r="K9" s="33">
        <v>0</v>
      </c>
      <c r="L9" s="33">
        <v>0</v>
      </c>
      <c r="M9" s="33">
        <v>1000000</v>
      </c>
      <c r="N9" s="33">
        <v>1000000</v>
      </c>
      <c r="O9" s="33">
        <v>0</v>
      </c>
      <c r="P9" s="33">
        <v>0</v>
      </c>
    </row>
    <row r="10" spans="1:16" x14ac:dyDescent="0.35">
      <c r="A10" s="26" t="s">
        <v>62</v>
      </c>
      <c r="B10" s="26" t="s">
        <v>63</v>
      </c>
      <c r="C10" s="27" t="s">
        <v>64</v>
      </c>
      <c r="D10" s="32">
        <v>1000000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500000</v>
      </c>
      <c r="O10" s="32">
        <v>500000</v>
      </c>
      <c r="P10" s="32">
        <v>0</v>
      </c>
    </row>
    <row r="11" spans="1:16" x14ac:dyDescent="0.35">
      <c r="A11" s="28" t="s">
        <v>66</v>
      </c>
      <c r="B11" s="28" t="s">
        <v>67</v>
      </c>
      <c r="C11" s="29" t="s">
        <v>68</v>
      </c>
      <c r="D11" s="33">
        <v>1500000</v>
      </c>
      <c r="E11" s="33">
        <v>0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0</v>
      </c>
      <c r="M11" s="33">
        <v>0</v>
      </c>
      <c r="N11" s="33">
        <v>0</v>
      </c>
      <c r="O11" s="33">
        <v>500000</v>
      </c>
      <c r="P11" s="33">
        <v>1000000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"/>
  <sheetViews>
    <sheetView workbookViewId="0"/>
  </sheetViews>
  <sheetFormatPr defaultRowHeight="14.5" x14ac:dyDescent="0.35"/>
  <cols>
    <col min="1" max="2" width="11.81640625" customWidth="1"/>
    <col min="3" max="3" width="36.36328125" customWidth="1"/>
    <col min="4" max="16" width="14.1796875" customWidth="1"/>
  </cols>
  <sheetData>
    <row r="1" spans="1:16" x14ac:dyDescent="0.35">
      <c r="A1" s="11" t="s">
        <v>71</v>
      </c>
      <c r="B1" s="11" t="s">
        <v>30</v>
      </c>
      <c r="C1" s="11" t="s">
        <v>31</v>
      </c>
      <c r="D1" s="11" t="s">
        <v>72</v>
      </c>
      <c r="E1" s="11" t="s">
        <v>85</v>
      </c>
      <c r="F1" s="11" t="s">
        <v>86</v>
      </c>
      <c r="G1" s="11" t="s">
        <v>87</v>
      </c>
      <c r="H1" s="11" t="s">
        <v>88</v>
      </c>
      <c r="I1" s="11" t="s">
        <v>89</v>
      </c>
      <c r="J1" s="11" t="s">
        <v>90</v>
      </c>
      <c r="K1" s="11" t="s">
        <v>91</v>
      </c>
      <c r="L1" s="11" t="s">
        <v>92</v>
      </c>
      <c r="M1" s="11" t="s">
        <v>93</v>
      </c>
      <c r="N1" s="11" t="s">
        <v>94</v>
      </c>
      <c r="O1" s="11" t="s">
        <v>95</v>
      </c>
      <c r="P1" s="11" t="s">
        <v>96</v>
      </c>
    </row>
    <row r="2" spans="1:16" x14ac:dyDescent="0.35">
      <c r="A2" s="26" t="s">
        <v>34</v>
      </c>
      <c r="B2" s="26" t="s">
        <v>35</v>
      </c>
      <c r="C2" s="27" t="s">
        <v>36</v>
      </c>
      <c r="D2" s="32">
        <v>1200000</v>
      </c>
      <c r="E2" s="30">
        <v>0.25</v>
      </c>
      <c r="F2" s="30">
        <v>0.65</v>
      </c>
      <c r="G2" s="30">
        <v>1</v>
      </c>
      <c r="H2" s="30">
        <v>1</v>
      </c>
      <c r="I2" s="30">
        <v>1</v>
      </c>
      <c r="J2" s="30">
        <v>1</v>
      </c>
      <c r="K2" s="30">
        <v>1</v>
      </c>
      <c r="L2" s="30">
        <v>1</v>
      </c>
      <c r="M2" s="30">
        <v>1</v>
      </c>
      <c r="N2" s="30">
        <v>1</v>
      </c>
      <c r="O2" s="30">
        <v>1</v>
      </c>
      <c r="P2" s="30">
        <v>1</v>
      </c>
    </row>
    <row r="3" spans="1:16" x14ac:dyDescent="0.35">
      <c r="A3" s="28" t="s">
        <v>38</v>
      </c>
      <c r="B3" s="28" t="s">
        <v>39</v>
      </c>
      <c r="C3" s="29" t="s">
        <v>40</v>
      </c>
      <c r="D3" s="33">
        <v>1800000</v>
      </c>
      <c r="E3" s="31">
        <v>0</v>
      </c>
      <c r="F3" s="31">
        <v>0.2</v>
      </c>
      <c r="G3" s="31">
        <v>0.6</v>
      </c>
      <c r="H3" s="31">
        <v>1</v>
      </c>
      <c r="I3" s="31">
        <v>1</v>
      </c>
      <c r="J3" s="31">
        <v>1</v>
      </c>
      <c r="K3" s="31">
        <v>1</v>
      </c>
      <c r="L3" s="31">
        <v>1</v>
      </c>
      <c r="M3" s="31">
        <v>1</v>
      </c>
      <c r="N3" s="31">
        <v>1</v>
      </c>
      <c r="O3" s="31">
        <v>1</v>
      </c>
      <c r="P3" s="31">
        <v>1</v>
      </c>
    </row>
    <row r="4" spans="1:16" x14ac:dyDescent="0.35">
      <c r="A4" s="26" t="s">
        <v>41</v>
      </c>
      <c r="B4" s="26" t="s">
        <v>42</v>
      </c>
      <c r="C4" s="27" t="s">
        <v>43</v>
      </c>
      <c r="D4" s="32">
        <v>3500000</v>
      </c>
      <c r="E4" s="30">
        <v>0</v>
      </c>
      <c r="F4" s="30">
        <v>0</v>
      </c>
      <c r="G4" s="30">
        <v>0.2</v>
      </c>
      <c r="H4" s="30">
        <v>0.7</v>
      </c>
      <c r="I4" s="30">
        <v>1</v>
      </c>
      <c r="J4" s="30">
        <v>1</v>
      </c>
      <c r="K4" s="30">
        <v>1</v>
      </c>
      <c r="L4" s="30">
        <v>1</v>
      </c>
      <c r="M4" s="30">
        <v>1</v>
      </c>
      <c r="N4" s="30">
        <v>1</v>
      </c>
      <c r="O4" s="30">
        <v>1</v>
      </c>
      <c r="P4" s="30">
        <v>1</v>
      </c>
    </row>
    <row r="5" spans="1:16" x14ac:dyDescent="0.35">
      <c r="A5" s="28" t="s">
        <v>45</v>
      </c>
      <c r="B5" s="28" t="s">
        <v>46</v>
      </c>
      <c r="C5" s="29" t="s">
        <v>47</v>
      </c>
      <c r="D5" s="33">
        <v>4200000</v>
      </c>
      <c r="E5" s="31">
        <v>0</v>
      </c>
      <c r="F5" s="31">
        <v>0</v>
      </c>
      <c r="G5" s="31">
        <v>0.1</v>
      </c>
      <c r="H5" s="31">
        <v>0.35</v>
      </c>
      <c r="I5" s="31">
        <v>0.6</v>
      </c>
      <c r="J5" s="31">
        <v>0.75</v>
      </c>
      <c r="K5" s="31">
        <v>0.85</v>
      </c>
      <c r="L5" s="31">
        <v>0.85</v>
      </c>
      <c r="M5" s="31">
        <v>0.85</v>
      </c>
      <c r="N5" s="31">
        <v>0.85</v>
      </c>
      <c r="O5" s="31">
        <v>0.85</v>
      </c>
      <c r="P5" s="31">
        <v>0.85</v>
      </c>
    </row>
    <row r="6" spans="1:16" x14ac:dyDescent="0.35">
      <c r="A6" s="26" t="s">
        <v>48</v>
      </c>
      <c r="B6" s="26" t="s">
        <v>49</v>
      </c>
      <c r="C6" s="27" t="s">
        <v>50</v>
      </c>
      <c r="D6" s="32">
        <v>4000000</v>
      </c>
      <c r="E6" s="30">
        <v>0</v>
      </c>
      <c r="F6" s="30">
        <v>0</v>
      </c>
      <c r="G6" s="30">
        <v>0</v>
      </c>
      <c r="H6" s="30">
        <v>0</v>
      </c>
      <c r="I6" s="30">
        <v>0.2</v>
      </c>
      <c r="J6" s="30">
        <v>0.55000000000000004</v>
      </c>
      <c r="K6" s="30">
        <v>0.8</v>
      </c>
      <c r="L6" s="30">
        <v>0.9</v>
      </c>
      <c r="M6" s="30">
        <v>0.9</v>
      </c>
      <c r="N6" s="30">
        <v>0.9</v>
      </c>
      <c r="O6" s="30">
        <v>0.9</v>
      </c>
      <c r="P6" s="30">
        <v>0.9</v>
      </c>
    </row>
    <row r="7" spans="1:16" x14ac:dyDescent="0.35">
      <c r="A7" s="28" t="s">
        <v>52</v>
      </c>
      <c r="B7" s="28" t="s">
        <v>53</v>
      </c>
      <c r="C7" s="29" t="s">
        <v>54</v>
      </c>
      <c r="D7" s="33">
        <v>4800000</v>
      </c>
      <c r="E7" s="31">
        <v>0</v>
      </c>
      <c r="F7" s="31">
        <v>0</v>
      </c>
      <c r="G7" s="31">
        <v>0</v>
      </c>
      <c r="H7" s="31">
        <v>0</v>
      </c>
      <c r="I7" s="31">
        <v>0</v>
      </c>
      <c r="J7" s="31">
        <v>0.15</v>
      </c>
      <c r="K7" s="31">
        <v>0.4</v>
      </c>
      <c r="L7" s="31">
        <v>0.65</v>
      </c>
      <c r="M7" s="31">
        <v>0.65</v>
      </c>
      <c r="N7" s="31">
        <v>0.65</v>
      </c>
      <c r="O7" s="31">
        <v>0.65</v>
      </c>
      <c r="P7" s="31">
        <v>0.65</v>
      </c>
    </row>
    <row r="8" spans="1:16" x14ac:dyDescent="0.35">
      <c r="A8" s="26" t="s">
        <v>55</v>
      </c>
      <c r="B8" s="26" t="s">
        <v>56</v>
      </c>
      <c r="C8" s="27" t="s">
        <v>57</v>
      </c>
      <c r="D8" s="32">
        <v>2500000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0.3</v>
      </c>
      <c r="M8" s="30">
        <v>0.3</v>
      </c>
      <c r="N8" s="30">
        <v>0.3</v>
      </c>
      <c r="O8" s="30">
        <v>0.3</v>
      </c>
      <c r="P8" s="30">
        <v>0.3</v>
      </c>
    </row>
    <row r="9" spans="1:16" x14ac:dyDescent="0.35">
      <c r="A9" s="28" t="s">
        <v>59</v>
      </c>
      <c r="B9" s="28" t="s">
        <v>60</v>
      </c>
      <c r="C9" s="29" t="s">
        <v>61</v>
      </c>
      <c r="D9" s="33">
        <v>2000000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</row>
    <row r="10" spans="1:16" x14ac:dyDescent="0.35">
      <c r="A10" s="26" t="s">
        <v>62</v>
      </c>
      <c r="B10" s="26" t="s">
        <v>63</v>
      </c>
      <c r="C10" s="27" t="s">
        <v>64</v>
      </c>
      <c r="D10" s="32">
        <v>1000000</v>
      </c>
      <c r="E10" s="30">
        <v>0</v>
      </c>
      <c r="F10" s="30">
        <v>0</v>
      </c>
      <c r="G10" s="30">
        <v>0</v>
      </c>
      <c r="H10" s="30">
        <v>0</v>
      </c>
      <c r="I10" s="30">
        <v>0</v>
      </c>
      <c r="J10" s="30">
        <v>0</v>
      </c>
      <c r="K10" s="30">
        <v>0</v>
      </c>
      <c r="L10" s="30">
        <v>0</v>
      </c>
      <c r="M10" s="30">
        <v>0</v>
      </c>
      <c r="N10" s="30">
        <v>0</v>
      </c>
      <c r="O10" s="30">
        <v>0</v>
      </c>
      <c r="P10" s="30">
        <v>0</v>
      </c>
    </row>
    <row r="11" spans="1:16" x14ac:dyDescent="0.35">
      <c r="A11" s="28" t="s">
        <v>66</v>
      </c>
      <c r="B11" s="28" t="s">
        <v>67</v>
      </c>
      <c r="C11" s="29" t="s">
        <v>68</v>
      </c>
      <c r="D11" s="33">
        <v>1500000</v>
      </c>
      <c r="E11" s="31">
        <v>0</v>
      </c>
      <c r="F11" s="31">
        <v>0</v>
      </c>
      <c r="G11" s="31">
        <v>0</v>
      </c>
      <c r="H11" s="31">
        <v>0</v>
      </c>
      <c r="I11" s="31">
        <v>0</v>
      </c>
      <c r="J11" s="31">
        <v>0</v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</row>
  </sheetData>
  <conditionalFormatting sqref="E2:P11">
    <cfRule type="cellIs" dxfId="2" priority="1" operator="equal">
      <formula>1</formula>
    </cfRule>
    <cfRule type="cellIs" dxfId="1" priority="2" operator="between">
      <formula>0.8</formula>
      <formula>0.999</formula>
    </cfRule>
    <cfRule type="cellIs" dxfId="0" priority="3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/>
  </sheetViews>
  <sheetFormatPr defaultRowHeight="14.5" x14ac:dyDescent="0.35"/>
  <cols>
    <col min="1" max="2" width="11.81640625" customWidth="1"/>
    <col min="3" max="3" width="36.36328125" customWidth="1"/>
    <col min="4" max="16" width="14.1796875" customWidth="1"/>
  </cols>
  <sheetData>
    <row r="1" spans="1:16" x14ac:dyDescent="0.35">
      <c r="A1" s="11" t="s">
        <v>71</v>
      </c>
      <c r="B1" s="11" t="s">
        <v>30</v>
      </c>
      <c r="C1" s="11" t="s">
        <v>31</v>
      </c>
      <c r="D1" s="11" t="s">
        <v>72</v>
      </c>
      <c r="E1" s="11" t="s">
        <v>97</v>
      </c>
      <c r="F1" s="11" t="s">
        <v>98</v>
      </c>
      <c r="G1" s="11" t="s">
        <v>99</v>
      </c>
      <c r="H1" s="11" t="s">
        <v>100</v>
      </c>
      <c r="I1" s="11" t="s">
        <v>101</v>
      </c>
      <c r="J1" s="11" t="s">
        <v>102</v>
      </c>
      <c r="K1" s="11" t="s">
        <v>103</v>
      </c>
      <c r="L1" s="11" t="s">
        <v>104</v>
      </c>
      <c r="M1" s="11" t="s">
        <v>105</v>
      </c>
      <c r="N1" s="11" t="s">
        <v>106</v>
      </c>
      <c r="O1" s="11" t="s">
        <v>107</v>
      </c>
      <c r="P1" s="11" t="s">
        <v>108</v>
      </c>
    </row>
    <row r="2" spans="1:16" x14ac:dyDescent="0.35">
      <c r="A2" s="26" t="s">
        <v>34</v>
      </c>
      <c r="B2" s="26" t="s">
        <v>35</v>
      </c>
      <c r="C2" s="27" t="s">
        <v>36</v>
      </c>
      <c r="D2" s="32">
        <v>1200000</v>
      </c>
      <c r="E2" s="32">
        <v>320000</v>
      </c>
      <c r="F2" s="32">
        <v>540000</v>
      </c>
      <c r="G2" s="32">
        <v>430000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</row>
    <row r="3" spans="1:16" x14ac:dyDescent="0.35">
      <c r="A3" s="28" t="s">
        <v>38</v>
      </c>
      <c r="B3" s="28" t="s">
        <v>39</v>
      </c>
      <c r="C3" s="29" t="s">
        <v>40</v>
      </c>
      <c r="D3" s="33">
        <v>1800000</v>
      </c>
      <c r="E3" s="33">
        <v>0</v>
      </c>
      <c r="F3" s="33">
        <v>410000</v>
      </c>
      <c r="G3" s="33">
        <v>850000</v>
      </c>
      <c r="H3" s="33">
        <v>620000</v>
      </c>
      <c r="I3" s="33">
        <v>0</v>
      </c>
      <c r="J3" s="33">
        <v>0</v>
      </c>
      <c r="K3" s="33">
        <v>0</v>
      </c>
      <c r="L3" s="33">
        <v>0</v>
      </c>
      <c r="M3" s="33">
        <v>0</v>
      </c>
      <c r="N3" s="33">
        <v>0</v>
      </c>
      <c r="O3" s="33">
        <v>0</v>
      </c>
      <c r="P3" s="33">
        <v>0</v>
      </c>
    </row>
    <row r="4" spans="1:16" x14ac:dyDescent="0.35">
      <c r="A4" s="26" t="s">
        <v>41</v>
      </c>
      <c r="B4" s="26" t="s">
        <v>42</v>
      </c>
      <c r="C4" s="27" t="s">
        <v>43</v>
      </c>
      <c r="D4" s="32">
        <v>3500000</v>
      </c>
      <c r="E4" s="32">
        <v>0</v>
      </c>
      <c r="F4" s="32">
        <v>0</v>
      </c>
      <c r="G4" s="32">
        <v>1100000</v>
      </c>
      <c r="H4" s="32">
        <v>2150000</v>
      </c>
      <c r="I4" s="32">
        <v>520000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</row>
    <row r="5" spans="1:16" x14ac:dyDescent="0.35">
      <c r="A5" s="28" t="s">
        <v>45</v>
      </c>
      <c r="B5" s="28" t="s">
        <v>46</v>
      </c>
      <c r="C5" s="29" t="s">
        <v>47</v>
      </c>
      <c r="D5" s="33">
        <v>4200000</v>
      </c>
      <c r="E5" s="33">
        <v>0</v>
      </c>
      <c r="F5" s="33">
        <v>0</v>
      </c>
      <c r="G5" s="33">
        <v>520000</v>
      </c>
      <c r="H5" s="33">
        <v>1280000</v>
      </c>
      <c r="I5" s="33">
        <v>1600000</v>
      </c>
      <c r="J5" s="33">
        <v>1100000</v>
      </c>
      <c r="K5" s="33">
        <v>450000</v>
      </c>
      <c r="L5" s="33">
        <v>0</v>
      </c>
      <c r="M5" s="33">
        <v>0</v>
      </c>
      <c r="N5" s="33">
        <v>0</v>
      </c>
      <c r="O5" s="33">
        <v>0</v>
      </c>
      <c r="P5" s="33">
        <v>0</v>
      </c>
    </row>
    <row r="6" spans="1:16" x14ac:dyDescent="0.35">
      <c r="A6" s="26" t="s">
        <v>48</v>
      </c>
      <c r="B6" s="26" t="s">
        <v>49</v>
      </c>
      <c r="C6" s="27" t="s">
        <v>50</v>
      </c>
      <c r="D6" s="32">
        <v>4000000</v>
      </c>
      <c r="E6" s="32">
        <v>0</v>
      </c>
      <c r="F6" s="32">
        <v>0</v>
      </c>
      <c r="G6" s="32">
        <v>0</v>
      </c>
      <c r="H6" s="32">
        <v>0</v>
      </c>
      <c r="I6" s="32">
        <v>1100000</v>
      </c>
      <c r="J6" s="32">
        <v>2200000</v>
      </c>
      <c r="K6" s="32">
        <v>1150000</v>
      </c>
      <c r="L6" s="32">
        <v>450000</v>
      </c>
      <c r="M6" s="32">
        <v>0</v>
      </c>
      <c r="N6" s="32">
        <v>0</v>
      </c>
      <c r="O6" s="32">
        <v>0</v>
      </c>
      <c r="P6" s="32">
        <v>0</v>
      </c>
    </row>
    <row r="7" spans="1:16" x14ac:dyDescent="0.35">
      <c r="A7" s="28" t="s">
        <v>52</v>
      </c>
      <c r="B7" s="28" t="s">
        <v>53</v>
      </c>
      <c r="C7" s="29" t="s">
        <v>54</v>
      </c>
      <c r="D7" s="33">
        <v>4800000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1150000</v>
      </c>
      <c r="K7" s="33">
        <v>2250000</v>
      </c>
      <c r="L7" s="33">
        <v>2050000</v>
      </c>
      <c r="M7" s="33">
        <v>0</v>
      </c>
      <c r="N7" s="33">
        <v>0</v>
      </c>
      <c r="O7" s="33">
        <v>0</v>
      </c>
      <c r="P7" s="33">
        <v>0</v>
      </c>
    </row>
    <row r="8" spans="1:16" x14ac:dyDescent="0.35">
      <c r="A8" s="26" t="s">
        <v>55</v>
      </c>
      <c r="B8" s="26" t="s">
        <v>56</v>
      </c>
      <c r="C8" s="27" t="s">
        <v>57</v>
      </c>
      <c r="D8" s="32">
        <v>2500000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1200000</v>
      </c>
      <c r="M8" s="32">
        <v>0</v>
      </c>
      <c r="N8" s="32">
        <v>0</v>
      </c>
      <c r="O8" s="32">
        <v>0</v>
      </c>
      <c r="P8" s="32">
        <v>0</v>
      </c>
    </row>
    <row r="9" spans="1:16" x14ac:dyDescent="0.35">
      <c r="A9" s="28" t="s">
        <v>59</v>
      </c>
      <c r="B9" s="28" t="s">
        <v>60</v>
      </c>
      <c r="C9" s="29" t="s">
        <v>61</v>
      </c>
      <c r="D9" s="33">
        <v>2000000</v>
      </c>
      <c r="E9" s="33">
        <v>0</v>
      </c>
      <c r="F9" s="33">
        <v>0</v>
      </c>
      <c r="G9" s="33">
        <v>0</v>
      </c>
      <c r="H9" s="33">
        <v>0</v>
      </c>
      <c r="I9" s="33">
        <v>0</v>
      </c>
      <c r="J9" s="33">
        <v>0</v>
      </c>
      <c r="K9" s="33">
        <v>0</v>
      </c>
      <c r="L9" s="33">
        <v>0</v>
      </c>
      <c r="M9" s="33">
        <v>0</v>
      </c>
      <c r="N9" s="33">
        <v>0</v>
      </c>
      <c r="O9" s="33">
        <v>0</v>
      </c>
      <c r="P9" s="33">
        <v>0</v>
      </c>
    </row>
    <row r="10" spans="1:16" x14ac:dyDescent="0.35">
      <c r="A10" s="26" t="s">
        <v>62</v>
      </c>
      <c r="B10" s="26" t="s">
        <v>63</v>
      </c>
      <c r="C10" s="27" t="s">
        <v>64</v>
      </c>
      <c r="D10" s="32">
        <v>1000000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</row>
    <row r="11" spans="1:16" x14ac:dyDescent="0.35">
      <c r="A11" s="28" t="s">
        <v>66</v>
      </c>
      <c r="B11" s="28" t="s">
        <v>67</v>
      </c>
      <c r="C11" s="29" t="s">
        <v>68</v>
      </c>
      <c r="D11" s="33">
        <v>1500000</v>
      </c>
      <c r="E11" s="33">
        <v>0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0</v>
      </c>
      <c r="M11" s="33">
        <v>0</v>
      </c>
      <c r="N11" s="33">
        <v>0</v>
      </c>
      <c r="O11" s="33">
        <v>0</v>
      </c>
      <c r="P11" s="33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1"/>
  <sheetViews>
    <sheetView workbookViewId="0"/>
  </sheetViews>
  <sheetFormatPr defaultRowHeight="14.5" x14ac:dyDescent="0.35"/>
  <cols>
    <col min="1" max="1" width="11.81640625" customWidth="1"/>
    <col min="2" max="2" width="36.36328125" customWidth="1"/>
    <col min="3" max="4" width="13.6328125" customWidth="1"/>
    <col min="5" max="8" width="14.90625" customWidth="1"/>
    <col min="9" max="9" width="13.6328125" customWidth="1"/>
    <col min="10" max="10" width="36.36328125" customWidth="1"/>
    <col min="11" max="15" width="15.453125" customWidth="1"/>
  </cols>
  <sheetData>
    <row r="1" spans="1:15" x14ac:dyDescent="0.35">
      <c r="A1" s="11" t="s">
        <v>29</v>
      </c>
      <c r="B1" s="11" t="s">
        <v>31</v>
      </c>
      <c r="C1" s="11" t="s">
        <v>30</v>
      </c>
      <c r="D1" s="11" t="s">
        <v>32</v>
      </c>
      <c r="E1" s="11" t="s">
        <v>109</v>
      </c>
      <c r="F1" s="11" t="s">
        <v>110</v>
      </c>
      <c r="G1" s="11" t="s">
        <v>111</v>
      </c>
      <c r="H1" s="11" t="s">
        <v>112</v>
      </c>
      <c r="I1" s="11" t="s">
        <v>113</v>
      </c>
      <c r="J1" s="11" t="s">
        <v>114</v>
      </c>
      <c r="K1" s="11" t="s">
        <v>115</v>
      </c>
      <c r="L1" s="11" t="s">
        <v>116</v>
      </c>
      <c r="M1" s="11" t="s">
        <v>117</v>
      </c>
      <c r="N1" s="11" t="s">
        <v>118</v>
      </c>
      <c r="O1" s="11" t="s">
        <v>119</v>
      </c>
    </row>
    <row r="2" spans="1:15" x14ac:dyDescent="0.35">
      <c r="A2" s="26" t="s">
        <v>34</v>
      </c>
      <c r="B2" s="27" t="s">
        <v>36</v>
      </c>
      <c r="C2" s="26" t="s">
        <v>35</v>
      </c>
      <c r="D2" s="27" t="s">
        <v>37</v>
      </c>
      <c r="E2" s="34" t="s">
        <v>120</v>
      </c>
      <c r="F2" s="34" t="s">
        <v>121</v>
      </c>
      <c r="G2" s="34" t="s">
        <v>120</v>
      </c>
      <c r="H2" s="34" t="s">
        <v>122</v>
      </c>
      <c r="I2" s="26"/>
      <c r="J2" s="27"/>
      <c r="K2" s="27"/>
      <c r="L2" s="36">
        <v>0</v>
      </c>
      <c r="M2" s="38">
        <v>1</v>
      </c>
      <c r="N2" s="79" t="s">
        <v>123</v>
      </c>
      <c r="O2" s="27" t="s">
        <v>124</v>
      </c>
    </row>
    <row r="3" spans="1:15" x14ac:dyDescent="0.35">
      <c r="A3" s="28" t="s">
        <v>38</v>
      </c>
      <c r="B3" s="29" t="s">
        <v>40</v>
      </c>
      <c r="C3" s="28" t="s">
        <v>39</v>
      </c>
      <c r="D3" s="29" t="s">
        <v>37</v>
      </c>
      <c r="E3" s="35" t="s">
        <v>125</v>
      </c>
      <c r="F3" s="35" t="s">
        <v>126</v>
      </c>
      <c r="G3" s="35" t="s">
        <v>125</v>
      </c>
      <c r="H3" s="35" t="s">
        <v>127</v>
      </c>
      <c r="I3" s="28" t="s">
        <v>34</v>
      </c>
      <c r="J3" s="29" t="s">
        <v>36</v>
      </c>
      <c r="K3" s="29" t="s">
        <v>128</v>
      </c>
      <c r="L3" s="37">
        <v>0</v>
      </c>
      <c r="M3" s="39">
        <v>1</v>
      </c>
      <c r="N3" s="80" t="s">
        <v>129</v>
      </c>
      <c r="O3" s="29" t="s">
        <v>124</v>
      </c>
    </row>
    <row r="4" spans="1:15" x14ac:dyDescent="0.35">
      <c r="A4" s="26" t="s">
        <v>41</v>
      </c>
      <c r="B4" s="27" t="s">
        <v>43</v>
      </c>
      <c r="C4" s="26" t="s">
        <v>42</v>
      </c>
      <c r="D4" s="27" t="s">
        <v>44</v>
      </c>
      <c r="E4" s="34" t="s">
        <v>130</v>
      </c>
      <c r="F4" s="34" t="s">
        <v>131</v>
      </c>
      <c r="G4" s="34" t="s">
        <v>122</v>
      </c>
      <c r="H4" s="34" t="s">
        <v>132</v>
      </c>
      <c r="I4" s="26" t="s">
        <v>34</v>
      </c>
      <c r="J4" s="27" t="s">
        <v>36</v>
      </c>
      <c r="K4" s="27" t="s">
        <v>128</v>
      </c>
      <c r="L4" s="36">
        <v>5</v>
      </c>
      <c r="M4" s="38">
        <v>1</v>
      </c>
      <c r="N4" s="79" t="s">
        <v>123</v>
      </c>
      <c r="O4" s="27" t="s">
        <v>133</v>
      </c>
    </row>
    <row r="5" spans="1:15" x14ac:dyDescent="0.35">
      <c r="A5" s="28" t="s">
        <v>45</v>
      </c>
      <c r="B5" s="29" t="s">
        <v>47</v>
      </c>
      <c r="C5" s="28" t="s">
        <v>46</v>
      </c>
      <c r="D5" s="29" t="s">
        <v>44</v>
      </c>
      <c r="E5" s="35" t="s">
        <v>122</v>
      </c>
      <c r="F5" s="35" t="s">
        <v>134</v>
      </c>
      <c r="G5" s="35" t="s">
        <v>135</v>
      </c>
      <c r="H5" s="35" t="s">
        <v>136</v>
      </c>
      <c r="I5" s="28" t="s">
        <v>38</v>
      </c>
      <c r="J5" s="29" t="s">
        <v>40</v>
      </c>
      <c r="K5" s="29" t="s">
        <v>128</v>
      </c>
      <c r="L5" s="37">
        <v>0</v>
      </c>
      <c r="M5" s="39">
        <v>0.85</v>
      </c>
      <c r="N5" s="80" t="s">
        <v>129</v>
      </c>
      <c r="O5" s="29" t="s">
        <v>133</v>
      </c>
    </row>
    <row r="6" spans="1:15" x14ac:dyDescent="0.35">
      <c r="A6" s="26" t="s">
        <v>48</v>
      </c>
      <c r="B6" s="27" t="s">
        <v>50</v>
      </c>
      <c r="C6" s="26" t="s">
        <v>49</v>
      </c>
      <c r="D6" s="27" t="s">
        <v>51</v>
      </c>
      <c r="E6" s="34" t="s">
        <v>137</v>
      </c>
      <c r="F6" s="34" t="s">
        <v>136</v>
      </c>
      <c r="G6" s="34" t="s">
        <v>138</v>
      </c>
      <c r="H6" s="34" t="s">
        <v>139</v>
      </c>
      <c r="I6" s="26" t="s">
        <v>41</v>
      </c>
      <c r="J6" s="27" t="s">
        <v>43</v>
      </c>
      <c r="K6" s="27" t="s">
        <v>128</v>
      </c>
      <c r="L6" s="36">
        <v>0</v>
      </c>
      <c r="M6" s="38">
        <v>0.9</v>
      </c>
      <c r="N6" s="81" t="s">
        <v>123</v>
      </c>
      <c r="O6" s="27" t="s">
        <v>140</v>
      </c>
    </row>
    <row r="7" spans="1:15" x14ac:dyDescent="0.35">
      <c r="A7" s="28" t="s">
        <v>52</v>
      </c>
      <c r="B7" s="29" t="s">
        <v>54</v>
      </c>
      <c r="C7" s="28" t="s">
        <v>53</v>
      </c>
      <c r="D7" s="29" t="s">
        <v>51</v>
      </c>
      <c r="E7" s="35" t="s">
        <v>138</v>
      </c>
      <c r="F7" s="35" t="s">
        <v>139</v>
      </c>
      <c r="G7" s="35" t="s">
        <v>141</v>
      </c>
      <c r="H7" s="35" t="s">
        <v>142</v>
      </c>
      <c r="I7" s="28" t="s">
        <v>48</v>
      </c>
      <c r="J7" s="29" t="s">
        <v>50</v>
      </c>
      <c r="K7" s="29" t="s">
        <v>128</v>
      </c>
      <c r="L7" s="37">
        <v>0</v>
      </c>
      <c r="M7" s="39">
        <v>0.65</v>
      </c>
      <c r="N7" s="81" t="s">
        <v>123</v>
      </c>
      <c r="O7" s="29" t="s">
        <v>143</v>
      </c>
    </row>
    <row r="8" spans="1:15" x14ac:dyDescent="0.35">
      <c r="A8" s="26" t="s">
        <v>55</v>
      </c>
      <c r="B8" s="27" t="s">
        <v>57</v>
      </c>
      <c r="C8" s="26" t="s">
        <v>56</v>
      </c>
      <c r="D8" s="27" t="s">
        <v>58</v>
      </c>
      <c r="E8" s="34" t="s">
        <v>144</v>
      </c>
      <c r="F8" s="34" t="s">
        <v>145</v>
      </c>
      <c r="G8" s="34" t="s">
        <v>145</v>
      </c>
      <c r="H8" s="34" t="s">
        <v>146</v>
      </c>
      <c r="I8" s="26" t="s">
        <v>52</v>
      </c>
      <c r="J8" s="27" t="s">
        <v>54</v>
      </c>
      <c r="K8" s="27" t="s">
        <v>128</v>
      </c>
      <c r="L8" s="36">
        <v>0</v>
      </c>
      <c r="M8" s="38">
        <v>0.3</v>
      </c>
      <c r="N8" s="81" t="s">
        <v>123</v>
      </c>
      <c r="O8" s="27" t="s">
        <v>147</v>
      </c>
    </row>
    <row r="9" spans="1:15" x14ac:dyDescent="0.35">
      <c r="A9" s="28" t="s">
        <v>59</v>
      </c>
      <c r="B9" s="29" t="s">
        <v>61</v>
      </c>
      <c r="C9" s="28" t="s">
        <v>60</v>
      </c>
      <c r="D9" s="29" t="s">
        <v>58</v>
      </c>
      <c r="E9" s="35" t="s">
        <v>145</v>
      </c>
      <c r="F9" s="35" t="s">
        <v>146</v>
      </c>
      <c r="G9" s="35" t="s">
        <v>146</v>
      </c>
      <c r="H9" s="35" t="s">
        <v>148</v>
      </c>
      <c r="I9" s="28" t="s">
        <v>55</v>
      </c>
      <c r="J9" s="29" t="s">
        <v>57</v>
      </c>
      <c r="K9" s="29" t="s">
        <v>128</v>
      </c>
      <c r="L9" s="37">
        <v>0</v>
      </c>
      <c r="M9" s="39">
        <v>0</v>
      </c>
      <c r="N9" s="81" t="s">
        <v>123</v>
      </c>
      <c r="O9" s="29" t="s">
        <v>147</v>
      </c>
    </row>
    <row r="10" spans="1:15" x14ac:dyDescent="0.35">
      <c r="A10" s="26" t="s">
        <v>62</v>
      </c>
      <c r="B10" s="27" t="s">
        <v>64</v>
      </c>
      <c r="C10" s="26" t="s">
        <v>63</v>
      </c>
      <c r="D10" s="27" t="s">
        <v>65</v>
      </c>
      <c r="E10" s="34" t="s">
        <v>146</v>
      </c>
      <c r="F10" s="34" t="s">
        <v>148</v>
      </c>
      <c r="G10" s="34" t="s">
        <v>148</v>
      </c>
      <c r="H10" s="34" t="s">
        <v>149</v>
      </c>
      <c r="I10" s="26" t="s">
        <v>59</v>
      </c>
      <c r="J10" s="27" t="s">
        <v>61</v>
      </c>
      <c r="K10" s="27" t="s">
        <v>128</v>
      </c>
      <c r="L10" s="36">
        <v>0</v>
      </c>
      <c r="M10" s="38">
        <v>0</v>
      </c>
      <c r="N10" s="81" t="s">
        <v>123</v>
      </c>
      <c r="O10" s="27" t="s">
        <v>150</v>
      </c>
    </row>
    <row r="11" spans="1:15" x14ac:dyDescent="0.35">
      <c r="A11" s="28" t="s">
        <v>66</v>
      </c>
      <c r="B11" s="29" t="s">
        <v>68</v>
      </c>
      <c r="C11" s="28" t="s">
        <v>67</v>
      </c>
      <c r="D11" s="29" t="s">
        <v>65</v>
      </c>
      <c r="E11" s="35" t="s">
        <v>148</v>
      </c>
      <c r="F11" s="35" t="s">
        <v>151</v>
      </c>
      <c r="G11" s="35" t="s">
        <v>149</v>
      </c>
      <c r="H11" s="35" t="s">
        <v>152</v>
      </c>
      <c r="I11" s="28" t="s">
        <v>62</v>
      </c>
      <c r="J11" s="29" t="s">
        <v>64</v>
      </c>
      <c r="K11" s="29" t="s">
        <v>128</v>
      </c>
      <c r="L11" s="37">
        <v>0</v>
      </c>
      <c r="M11" s="39">
        <v>0</v>
      </c>
      <c r="N11" s="81" t="s">
        <v>123</v>
      </c>
      <c r="O11" s="29" t="s">
        <v>153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"/>
  <sheetViews>
    <sheetView workbookViewId="0">
      <selection sqref="A1:G1"/>
    </sheetView>
  </sheetViews>
  <sheetFormatPr defaultRowHeight="14.5" x14ac:dyDescent="0.35"/>
  <cols>
    <col min="1" max="1" width="12.7265625" customWidth="1"/>
    <col min="2" max="2" width="36.36328125" customWidth="1"/>
    <col min="3" max="4" width="15.453125" customWidth="1"/>
    <col min="5" max="7" width="17.26953125" customWidth="1"/>
  </cols>
  <sheetData>
    <row r="1" spans="1:7" ht="30" customHeight="1" x14ac:dyDescent="0.5">
      <c r="A1" s="8" t="s">
        <v>154</v>
      </c>
      <c r="B1" s="8"/>
      <c r="C1" s="8"/>
      <c r="D1" s="8"/>
      <c r="E1" s="8"/>
      <c r="F1" s="8"/>
      <c r="G1" s="8"/>
    </row>
    <row r="2" spans="1:7" x14ac:dyDescent="0.35">
      <c r="A2" s="40" t="s">
        <v>155</v>
      </c>
      <c r="B2" s="40"/>
      <c r="C2" s="40"/>
      <c r="D2" s="40"/>
      <c r="E2" s="40"/>
      <c r="F2" s="40"/>
      <c r="G2" s="40"/>
    </row>
    <row r="4" spans="1:7" x14ac:dyDescent="0.35">
      <c r="A4" s="11" t="s">
        <v>156</v>
      </c>
      <c r="B4" s="11" t="s">
        <v>157</v>
      </c>
      <c r="C4" s="11" t="s">
        <v>158</v>
      </c>
      <c r="D4" s="11" t="s">
        <v>159</v>
      </c>
      <c r="E4" s="11" t="s">
        <v>160</v>
      </c>
      <c r="F4" s="11" t="s">
        <v>161</v>
      </c>
      <c r="G4" s="11" t="s">
        <v>30</v>
      </c>
    </row>
    <row r="5" spans="1:7" x14ac:dyDescent="0.35">
      <c r="A5" s="41" t="s">
        <v>162</v>
      </c>
      <c r="B5" s="41" t="s">
        <v>163</v>
      </c>
      <c r="C5" s="43" t="s">
        <v>122</v>
      </c>
      <c r="D5" s="43" t="s">
        <v>122</v>
      </c>
      <c r="E5" s="41" t="s">
        <v>164</v>
      </c>
      <c r="F5" s="82" t="s">
        <v>165</v>
      </c>
      <c r="G5" s="41" t="s">
        <v>166</v>
      </c>
    </row>
    <row r="6" spans="1:7" x14ac:dyDescent="0.35">
      <c r="A6" s="42" t="s">
        <v>167</v>
      </c>
      <c r="B6" s="42" t="s">
        <v>168</v>
      </c>
      <c r="C6" s="44" t="s">
        <v>132</v>
      </c>
      <c r="D6" s="44" t="s">
        <v>132</v>
      </c>
      <c r="E6" s="42" t="s">
        <v>164</v>
      </c>
      <c r="F6" s="82" t="s">
        <v>165</v>
      </c>
      <c r="G6" s="42" t="s">
        <v>169</v>
      </c>
    </row>
    <row r="7" spans="1:7" x14ac:dyDescent="0.35">
      <c r="A7" s="41" t="s">
        <v>170</v>
      </c>
      <c r="B7" s="41" t="s">
        <v>171</v>
      </c>
      <c r="C7" s="43" t="s">
        <v>139</v>
      </c>
      <c r="D7" s="43" t="s">
        <v>139</v>
      </c>
      <c r="E7" s="41" t="s">
        <v>172</v>
      </c>
      <c r="F7" s="82" t="s">
        <v>165</v>
      </c>
      <c r="G7" s="41" t="s">
        <v>49</v>
      </c>
    </row>
    <row r="8" spans="1:7" x14ac:dyDescent="0.35">
      <c r="A8" s="42" t="s">
        <v>173</v>
      </c>
      <c r="B8" s="42" t="s">
        <v>174</v>
      </c>
      <c r="C8" s="44" t="s">
        <v>142</v>
      </c>
      <c r="D8" s="44" t="s">
        <v>139</v>
      </c>
      <c r="E8" s="42" t="s">
        <v>175</v>
      </c>
      <c r="F8" s="75" t="s">
        <v>176</v>
      </c>
      <c r="G8" s="42" t="s">
        <v>53</v>
      </c>
    </row>
    <row r="9" spans="1:7" x14ac:dyDescent="0.35">
      <c r="A9" s="41" t="s">
        <v>177</v>
      </c>
      <c r="B9" s="41" t="s">
        <v>178</v>
      </c>
      <c r="C9" s="43" t="s">
        <v>148</v>
      </c>
      <c r="D9" s="43" t="s">
        <v>179</v>
      </c>
      <c r="E9" s="41" t="s">
        <v>180</v>
      </c>
      <c r="F9" s="75" t="s">
        <v>176</v>
      </c>
      <c r="G9" s="41" t="s">
        <v>60</v>
      </c>
    </row>
    <row r="10" spans="1:7" x14ac:dyDescent="0.35">
      <c r="A10" s="42" t="s">
        <v>181</v>
      </c>
      <c r="B10" s="42" t="s">
        <v>182</v>
      </c>
      <c r="C10" s="44" t="s">
        <v>152</v>
      </c>
      <c r="D10" s="44" t="s">
        <v>151</v>
      </c>
      <c r="E10" s="42" t="s">
        <v>183</v>
      </c>
      <c r="F10" s="75" t="s">
        <v>176</v>
      </c>
      <c r="G10" s="42" t="s">
        <v>184</v>
      </c>
    </row>
  </sheetData>
  <mergeCells count="2">
    <mergeCell ref="A1:G1"/>
    <mergeCell ref="A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1"/>
  <sheetViews>
    <sheetView workbookViewId="0">
      <selection sqref="A1:K1"/>
    </sheetView>
  </sheetViews>
  <sheetFormatPr defaultRowHeight="14.5" x14ac:dyDescent="0.35"/>
  <cols>
    <col min="1" max="1" width="13.6328125" customWidth="1"/>
    <col min="2" max="7" width="16.36328125" customWidth="1"/>
    <col min="8" max="9" width="17.26953125" customWidth="1"/>
    <col min="10" max="10" width="36.36328125" customWidth="1"/>
    <col min="11" max="11" width="16.36328125" customWidth="1"/>
  </cols>
  <sheetData>
    <row r="1" spans="1:11" ht="30" customHeight="1" x14ac:dyDescent="0.5">
      <c r="A1" s="8" t="s">
        <v>185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x14ac:dyDescent="0.35">
      <c r="A2" s="40" t="s">
        <v>155</v>
      </c>
      <c r="B2" s="40"/>
      <c r="C2" s="40"/>
      <c r="D2" s="40"/>
      <c r="E2" s="40"/>
      <c r="F2" s="40"/>
      <c r="G2" s="40"/>
      <c r="H2" s="40"/>
      <c r="I2" s="40"/>
      <c r="J2" s="40"/>
      <c r="K2" s="40"/>
    </row>
    <row r="4" spans="1:11" x14ac:dyDescent="0.35">
      <c r="A4" s="11" t="s">
        <v>186</v>
      </c>
      <c r="B4" s="11" t="s">
        <v>187</v>
      </c>
      <c r="C4" s="11" t="s">
        <v>188</v>
      </c>
      <c r="D4" s="11" t="s">
        <v>189</v>
      </c>
      <c r="E4" s="11" t="s">
        <v>190</v>
      </c>
      <c r="F4" s="11" t="s">
        <v>191</v>
      </c>
      <c r="G4" s="11" t="s">
        <v>192</v>
      </c>
      <c r="H4" s="11" t="s">
        <v>193</v>
      </c>
      <c r="I4" s="11" t="s">
        <v>194</v>
      </c>
      <c r="J4" s="11" t="s">
        <v>195</v>
      </c>
      <c r="K4" s="11" t="s">
        <v>196</v>
      </c>
    </row>
    <row r="5" spans="1:11" x14ac:dyDescent="0.35">
      <c r="A5" s="41" t="s">
        <v>197</v>
      </c>
      <c r="B5" s="41" t="s">
        <v>198</v>
      </c>
      <c r="C5" s="41" t="s">
        <v>199</v>
      </c>
      <c r="D5" s="47">
        <v>5</v>
      </c>
      <c r="E5" s="47">
        <v>5</v>
      </c>
      <c r="F5" s="47">
        <v>25</v>
      </c>
      <c r="G5" s="75" t="s">
        <v>200</v>
      </c>
      <c r="H5" s="49">
        <v>2400000</v>
      </c>
      <c r="I5" s="49">
        <v>2400000</v>
      </c>
      <c r="J5" s="51" t="s">
        <v>201</v>
      </c>
      <c r="K5" s="41" t="s">
        <v>202</v>
      </c>
    </row>
    <row r="6" spans="1:11" x14ac:dyDescent="0.35">
      <c r="A6" s="42" t="s">
        <v>203</v>
      </c>
      <c r="B6" s="42" t="s">
        <v>204</v>
      </c>
      <c r="C6" s="42" t="s">
        <v>205</v>
      </c>
      <c r="D6" s="48">
        <v>4</v>
      </c>
      <c r="E6" s="48">
        <v>4</v>
      </c>
      <c r="F6" s="48">
        <v>16</v>
      </c>
      <c r="G6" s="75" t="s">
        <v>206</v>
      </c>
      <c r="H6" s="50">
        <v>1800000</v>
      </c>
      <c r="I6" s="50">
        <v>720000</v>
      </c>
      <c r="J6" s="52" t="s">
        <v>207</v>
      </c>
      <c r="K6" s="42" t="s">
        <v>208</v>
      </c>
    </row>
    <row r="7" spans="1:11" x14ac:dyDescent="0.35">
      <c r="A7" s="41" t="s">
        <v>209</v>
      </c>
      <c r="B7" s="41" t="s">
        <v>210</v>
      </c>
      <c r="C7" s="41" t="s">
        <v>211</v>
      </c>
      <c r="D7" s="47">
        <v>3</v>
      </c>
      <c r="E7" s="47">
        <v>3</v>
      </c>
      <c r="F7" s="47">
        <v>9</v>
      </c>
      <c r="G7" s="71" t="s">
        <v>212</v>
      </c>
      <c r="H7" s="49">
        <v>600000</v>
      </c>
      <c r="I7" s="49">
        <v>180000</v>
      </c>
      <c r="J7" s="51" t="s">
        <v>213</v>
      </c>
      <c r="K7" s="41" t="s">
        <v>214</v>
      </c>
    </row>
    <row r="8" spans="1:11" x14ac:dyDescent="0.35">
      <c r="A8" s="42" t="s">
        <v>215</v>
      </c>
      <c r="B8" s="42" t="s">
        <v>216</v>
      </c>
      <c r="C8" s="42" t="s">
        <v>217</v>
      </c>
      <c r="D8" s="48">
        <v>2</v>
      </c>
      <c r="E8" s="48">
        <v>3</v>
      </c>
      <c r="F8" s="48">
        <v>6</v>
      </c>
      <c r="G8" s="71" t="s">
        <v>212</v>
      </c>
      <c r="H8" s="50">
        <v>300000</v>
      </c>
      <c r="I8" s="50">
        <v>60000</v>
      </c>
      <c r="J8" s="52" t="s">
        <v>218</v>
      </c>
      <c r="K8" s="42" t="s">
        <v>219</v>
      </c>
    </row>
    <row r="9" spans="1:11" x14ac:dyDescent="0.35">
      <c r="A9" s="41" t="s">
        <v>220</v>
      </c>
      <c r="B9" s="41" t="s">
        <v>221</v>
      </c>
      <c r="C9" s="41" t="s">
        <v>222</v>
      </c>
      <c r="D9" s="47">
        <v>2</v>
      </c>
      <c r="E9" s="47">
        <v>2</v>
      </c>
      <c r="F9" s="47">
        <v>4</v>
      </c>
      <c r="G9" s="82" t="s">
        <v>223</v>
      </c>
      <c r="H9" s="49">
        <v>200000</v>
      </c>
      <c r="I9" s="49">
        <v>40000</v>
      </c>
      <c r="J9" s="51" t="s">
        <v>224</v>
      </c>
      <c r="K9" s="41" t="s">
        <v>225</v>
      </c>
    </row>
    <row r="31" spans="1:7" ht="24" customHeight="1" x14ac:dyDescent="0.35">
      <c r="A31" s="85" t="s">
        <v>373</v>
      </c>
      <c r="B31" s="85"/>
      <c r="C31" s="85"/>
      <c r="D31" s="85"/>
      <c r="E31" s="85"/>
      <c r="F31" s="85"/>
      <c r="G31" s="85"/>
    </row>
    <row r="33" spans="1:7" x14ac:dyDescent="0.35">
      <c r="A33" s="86" t="s">
        <v>189</v>
      </c>
      <c r="B33" s="86">
        <v>1</v>
      </c>
      <c r="C33" s="86">
        <v>2</v>
      </c>
      <c r="D33" s="86">
        <v>3</v>
      </c>
      <c r="E33" s="86">
        <v>4</v>
      </c>
      <c r="F33" s="86">
        <v>5</v>
      </c>
      <c r="G33" s="86" t="s">
        <v>374</v>
      </c>
    </row>
    <row r="34" spans="1:7" ht="36" customHeight="1" x14ac:dyDescent="0.35">
      <c r="A34" s="87">
        <v>5</v>
      </c>
      <c r="B34" s="88"/>
      <c r="C34" s="89"/>
      <c r="D34" s="90"/>
      <c r="E34" s="90"/>
      <c r="F34" s="90" t="s">
        <v>197</v>
      </c>
      <c r="G34" s="91"/>
    </row>
    <row r="35" spans="1:7" ht="36" customHeight="1" x14ac:dyDescent="0.35">
      <c r="A35" s="87">
        <v>4</v>
      </c>
      <c r="B35" s="88"/>
      <c r="C35" s="89"/>
      <c r="D35" s="89"/>
      <c r="E35" s="90" t="s">
        <v>203</v>
      </c>
      <c r="F35" s="90"/>
      <c r="G35" s="91"/>
    </row>
    <row r="36" spans="1:7" ht="36" customHeight="1" x14ac:dyDescent="0.35">
      <c r="A36" s="87">
        <v>3</v>
      </c>
      <c r="B36" s="88"/>
      <c r="C36" s="88"/>
      <c r="D36" s="89" t="s">
        <v>209</v>
      </c>
      <c r="E36" s="89"/>
      <c r="F36" s="90"/>
      <c r="G36" s="91"/>
    </row>
    <row r="37" spans="1:7" ht="36" customHeight="1" x14ac:dyDescent="0.35">
      <c r="A37" s="87">
        <v>2</v>
      </c>
      <c r="B37" s="88"/>
      <c r="C37" s="88" t="s">
        <v>220</v>
      </c>
      <c r="D37" s="88" t="s">
        <v>215</v>
      </c>
      <c r="E37" s="89"/>
      <c r="F37" s="89"/>
      <c r="G37" s="91"/>
    </row>
    <row r="38" spans="1:7" ht="36" customHeight="1" x14ac:dyDescent="0.35">
      <c r="A38" s="87">
        <v>1</v>
      </c>
      <c r="B38" s="88"/>
      <c r="C38" s="88"/>
      <c r="D38" s="88"/>
      <c r="E38" s="88"/>
      <c r="F38" s="88"/>
      <c r="G38" s="91"/>
    </row>
    <row r="39" spans="1:7" x14ac:dyDescent="0.35">
      <c r="A39" s="91" t="s">
        <v>375</v>
      </c>
      <c r="B39" s="92" t="s">
        <v>376</v>
      </c>
      <c r="C39" s="92"/>
      <c r="D39" s="92"/>
      <c r="E39" s="92"/>
      <c r="F39" s="92"/>
      <c r="G39" s="91"/>
    </row>
    <row r="41" spans="1:7" x14ac:dyDescent="0.35">
      <c r="A41" s="93" t="s">
        <v>377</v>
      </c>
      <c r="B41" s="94" t="s">
        <v>378</v>
      </c>
      <c r="C41" s="95" t="s">
        <v>379</v>
      </c>
      <c r="D41" s="96" t="s">
        <v>380</v>
      </c>
    </row>
  </sheetData>
  <mergeCells count="4">
    <mergeCell ref="A1:K1"/>
    <mergeCell ref="A2:K2"/>
    <mergeCell ref="A31:G31"/>
    <mergeCell ref="B39:F39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4"/>
  <sheetViews>
    <sheetView topLeftCell="A5" workbookViewId="0">
      <selection sqref="A1:H1"/>
    </sheetView>
  </sheetViews>
  <sheetFormatPr defaultRowHeight="14.5" x14ac:dyDescent="0.35"/>
  <cols>
    <col min="1" max="1" width="10" customWidth="1"/>
    <col min="2" max="2" width="36.36328125" customWidth="1"/>
    <col min="3" max="3" width="13.6328125" customWidth="1"/>
    <col min="4" max="6" width="17.26953125" customWidth="1"/>
    <col min="7" max="7" width="36.36328125" customWidth="1"/>
    <col min="8" max="8" width="10.90625" customWidth="1"/>
    <col min="9" max="10" width="12.7265625" customWidth="1"/>
  </cols>
  <sheetData>
    <row r="1" spans="1:10" ht="30" customHeight="1" x14ac:dyDescent="0.5">
      <c r="A1" s="8" t="s">
        <v>226</v>
      </c>
      <c r="B1" s="8"/>
      <c r="C1" s="8"/>
      <c r="D1" s="8"/>
      <c r="E1" s="8"/>
      <c r="F1" s="8"/>
      <c r="G1" s="8"/>
      <c r="H1" s="8"/>
    </row>
    <row r="2" spans="1:10" x14ac:dyDescent="0.35">
      <c r="A2" s="40" t="s">
        <v>155</v>
      </c>
      <c r="B2" s="40"/>
      <c r="C2" s="40"/>
      <c r="D2" s="40"/>
      <c r="E2" s="40"/>
      <c r="F2" s="40"/>
      <c r="G2" s="40"/>
      <c r="H2" s="40"/>
    </row>
    <row r="4" spans="1:10" x14ac:dyDescent="0.35">
      <c r="A4" s="11" t="s">
        <v>227</v>
      </c>
      <c r="B4" s="11" t="s">
        <v>228</v>
      </c>
      <c r="C4" s="11" t="s">
        <v>229</v>
      </c>
      <c r="D4" s="11" t="s">
        <v>230</v>
      </c>
      <c r="E4" s="11" t="s">
        <v>231</v>
      </c>
      <c r="F4" s="11" t="s">
        <v>232</v>
      </c>
      <c r="G4" s="11" t="s">
        <v>233</v>
      </c>
      <c r="I4" t="s">
        <v>369</v>
      </c>
      <c r="J4" t="s">
        <v>370</v>
      </c>
    </row>
    <row r="5" spans="1:10" x14ac:dyDescent="0.35">
      <c r="A5" s="45">
        <v>0</v>
      </c>
      <c r="B5" s="41" t="s">
        <v>234</v>
      </c>
      <c r="C5" s="41" t="s">
        <v>235</v>
      </c>
      <c r="D5" s="49">
        <v>26500000</v>
      </c>
      <c r="E5" s="49">
        <v>26500000</v>
      </c>
      <c r="F5" s="53">
        <v>0</v>
      </c>
      <c r="G5" s="51" t="s">
        <v>236</v>
      </c>
      <c r="I5" t="str">
        <f>B5</f>
        <v>Original Baseline Budget (BAC)</v>
      </c>
      <c r="J5" s="83">
        <f>D5</f>
        <v>26500000</v>
      </c>
    </row>
    <row r="6" spans="1:10" x14ac:dyDescent="0.35">
      <c r="A6" s="46">
        <v>1</v>
      </c>
      <c r="B6" s="42" t="s">
        <v>237</v>
      </c>
      <c r="C6" s="42" t="s">
        <v>238</v>
      </c>
      <c r="D6" s="50">
        <v>300000</v>
      </c>
      <c r="E6" s="50">
        <v>26800000</v>
      </c>
      <c r="F6" s="54">
        <v>3.4</v>
      </c>
      <c r="G6" s="52" t="s">
        <v>239</v>
      </c>
      <c r="I6" t="str">
        <f>B6</f>
        <v>WBS 1.1 Detail Structural Engineering</v>
      </c>
      <c r="J6" s="83">
        <f>D6</f>
        <v>300000</v>
      </c>
    </row>
    <row r="7" spans="1:10" x14ac:dyDescent="0.35">
      <c r="A7" s="45">
        <v>2</v>
      </c>
      <c r="B7" s="41" t="s">
        <v>240</v>
      </c>
      <c r="C7" s="41" t="s">
        <v>238</v>
      </c>
      <c r="D7" s="49">
        <v>600000</v>
      </c>
      <c r="E7" s="49">
        <v>27400000</v>
      </c>
      <c r="F7" s="53">
        <v>6.7</v>
      </c>
      <c r="G7" s="51" t="s">
        <v>241</v>
      </c>
      <c r="I7" t="str">
        <f>B7</f>
        <v>WBS 1.2 Procurement &amp; Tubular Steel</v>
      </c>
      <c r="J7" s="83">
        <f>D7</f>
        <v>600000</v>
      </c>
    </row>
    <row r="8" spans="1:10" x14ac:dyDescent="0.35">
      <c r="A8" s="46">
        <v>3</v>
      </c>
      <c r="B8" s="42" t="s">
        <v>242</v>
      </c>
      <c r="C8" s="42" t="s">
        <v>238</v>
      </c>
      <c r="D8" s="50">
        <v>200000</v>
      </c>
      <c r="E8" s="50">
        <v>27600000</v>
      </c>
      <c r="F8" s="54">
        <v>2.2000000000000002</v>
      </c>
      <c r="G8" s="52" t="s">
        <v>243</v>
      </c>
      <c r="I8" t="str">
        <f>B8</f>
        <v>WBS 1.3.1 Verdal Sub-Structure Yard</v>
      </c>
      <c r="J8" s="83">
        <f>D8</f>
        <v>200000</v>
      </c>
    </row>
    <row r="9" spans="1:10" x14ac:dyDescent="0.35">
      <c r="A9" s="45">
        <v>4</v>
      </c>
      <c r="B9" s="41" t="s">
        <v>244</v>
      </c>
      <c r="C9" s="41" t="s">
        <v>238</v>
      </c>
      <c r="D9" s="55">
        <v>2400000</v>
      </c>
      <c r="E9" s="55">
        <v>30000000</v>
      </c>
      <c r="F9" s="56">
        <v>26.9</v>
      </c>
      <c r="G9" s="57" t="s">
        <v>245</v>
      </c>
      <c r="I9" t="str">
        <f>B9</f>
        <v>WBS 1.3.2 Egersund Derrick Mast Rework</v>
      </c>
      <c r="J9" s="83">
        <f>D9</f>
        <v>2400000</v>
      </c>
    </row>
    <row r="10" spans="1:10" x14ac:dyDescent="0.35">
      <c r="A10" s="46">
        <v>5</v>
      </c>
      <c r="B10" s="42" t="s">
        <v>246</v>
      </c>
      <c r="C10" s="42" t="s">
        <v>238</v>
      </c>
      <c r="D10" s="50">
        <v>1300000</v>
      </c>
      <c r="E10" s="50">
        <v>31300000</v>
      </c>
      <c r="F10" s="54">
        <v>14.6</v>
      </c>
      <c r="G10" s="52" t="s">
        <v>247</v>
      </c>
      <c r="I10" t="str">
        <f>B10</f>
        <v>WBS 1.4.1 Heavy Lift Vessel Standby</v>
      </c>
      <c r="J10" s="83">
        <f>D10</f>
        <v>1300000</v>
      </c>
    </row>
    <row r="11" spans="1:10" x14ac:dyDescent="0.35">
      <c r="A11" s="45">
        <v>6</v>
      </c>
      <c r="B11" s="41" t="s">
        <v>248</v>
      </c>
      <c r="C11" s="41" t="s">
        <v>238</v>
      </c>
      <c r="D11" s="49">
        <v>100000</v>
      </c>
      <c r="E11" s="49">
        <v>31400000</v>
      </c>
      <c r="F11" s="53">
        <v>1.1000000000000001</v>
      </c>
      <c r="G11" s="51" t="s">
        <v>249</v>
      </c>
      <c r="I11" t="str">
        <f>B11</f>
        <v>WBS 1.4.2 Topside Lifting &amp; Mating</v>
      </c>
      <c r="J11" s="83">
        <f>D11</f>
        <v>100000</v>
      </c>
    </row>
    <row r="12" spans="1:10" x14ac:dyDescent="0.35">
      <c r="A12" s="46">
        <v>7</v>
      </c>
      <c r="B12" s="42" t="s">
        <v>250</v>
      </c>
      <c r="C12" s="42" t="s">
        <v>238</v>
      </c>
      <c r="D12" s="50">
        <v>200000</v>
      </c>
      <c r="E12" s="50">
        <v>31600000</v>
      </c>
      <c r="F12" s="54">
        <v>2.2000000000000002</v>
      </c>
      <c r="G12" s="52" t="s">
        <v>251</v>
      </c>
      <c r="I12" t="str">
        <f>B12</f>
        <v>WBS 1.5 Hook-up &amp; Commissioning</v>
      </c>
      <c r="J12" s="83">
        <f>D12</f>
        <v>200000</v>
      </c>
    </row>
    <row r="13" spans="1:10" x14ac:dyDescent="0.35">
      <c r="A13" s="45">
        <v>8</v>
      </c>
      <c r="B13" s="41" t="s">
        <v>252</v>
      </c>
      <c r="C13" s="41" t="s">
        <v>238</v>
      </c>
      <c r="D13" s="55">
        <v>3813604</v>
      </c>
      <c r="E13" s="55">
        <v>35413604</v>
      </c>
      <c r="F13" s="56">
        <v>42.8</v>
      </c>
      <c r="G13" s="57" t="s">
        <v>253</v>
      </c>
      <c r="I13" t="str">
        <f>B13</f>
        <v>Time Delay Overhead Spread (SPI_t)</v>
      </c>
      <c r="J13" s="83">
        <f>D13</f>
        <v>3813604</v>
      </c>
    </row>
    <row r="14" spans="1:10" x14ac:dyDescent="0.35">
      <c r="A14" s="58">
        <v>9</v>
      </c>
      <c r="B14" s="59" t="s">
        <v>254</v>
      </c>
      <c r="C14" s="59" t="s">
        <v>255</v>
      </c>
      <c r="D14" s="60">
        <v>35413604</v>
      </c>
      <c r="E14" s="60">
        <v>35413604</v>
      </c>
      <c r="F14" s="61">
        <v>100</v>
      </c>
      <c r="G14" s="62" t="s">
        <v>256</v>
      </c>
    </row>
  </sheetData>
  <mergeCells count="2">
    <mergeCell ref="A1:H1"/>
    <mergeCell ref="A2:H2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7"/>
  <sheetViews>
    <sheetView topLeftCell="A23" workbookViewId="0">
      <selection sqref="A1:H1"/>
    </sheetView>
  </sheetViews>
  <sheetFormatPr defaultRowHeight="14.5" x14ac:dyDescent="0.35"/>
  <cols>
    <col min="1" max="1" width="20.90625" customWidth="1"/>
    <col min="2" max="6" width="16.36328125" customWidth="1"/>
    <col min="7" max="7" width="34.54296875" customWidth="1"/>
    <col min="8" max="8" width="10.90625" customWidth="1"/>
    <col min="10" max="10" width="12" customWidth="1"/>
    <col min="11" max="11" width="12.1796875" customWidth="1"/>
    <col min="12" max="12" width="13.08984375" customWidth="1"/>
  </cols>
  <sheetData>
    <row r="1" spans="1:12" ht="30" customHeight="1" x14ac:dyDescent="0.5">
      <c r="A1" s="8" t="s">
        <v>257</v>
      </c>
      <c r="B1" s="8"/>
      <c r="C1" s="8"/>
      <c r="D1" s="8"/>
      <c r="E1" s="8"/>
      <c r="F1" s="8"/>
      <c r="G1" s="8"/>
      <c r="H1" s="8"/>
    </row>
    <row r="2" spans="1:12" x14ac:dyDescent="0.35">
      <c r="A2" s="40" t="s">
        <v>155</v>
      </c>
      <c r="B2" s="40"/>
      <c r="C2" s="40"/>
      <c r="D2" s="40"/>
      <c r="E2" s="40"/>
      <c r="F2" s="40"/>
      <c r="G2" s="40"/>
      <c r="H2" s="40"/>
    </row>
    <row r="4" spans="1:12" x14ac:dyDescent="0.35">
      <c r="A4" s="11" t="s">
        <v>258</v>
      </c>
      <c r="B4" s="11" t="s">
        <v>259</v>
      </c>
      <c r="C4" s="11" t="s">
        <v>260</v>
      </c>
      <c r="D4" s="11" t="s">
        <v>261</v>
      </c>
      <c r="E4" s="11" t="s">
        <v>262</v>
      </c>
      <c r="F4" s="11" t="s">
        <v>263</v>
      </c>
      <c r="G4" s="11" t="s">
        <v>264</v>
      </c>
      <c r="I4" t="s">
        <v>258</v>
      </c>
      <c r="J4" t="s">
        <v>381</v>
      </c>
      <c r="K4" t="s">
        <v>382</v>
      </c>
      <c r="L4" t="s">
        <v>383</v>
      </c>
    </row>
    <row r="5" spans="1:12" x14ac:dyDescent="0.35">
      <c r="A5" s="41" t="s">
        <v>265</v>
      </c>
      <c r="B5" s="63">
        <v>300000</v>
      </c>
      <c r="C5" s="63">
        <v>300000</v>
      </c>
      <c r="D5" s="63">
        <v>320000</v>
      </c>
      <c r="E5" s="63">
        <v>320000</v>
      </c>
      <c r="F5" s="63">
        <v>26180000</v>
      </c>
      <c r="G5" s="82" t="s">
        <v>266</v>
      </c>
      <c r="I5" t="str">
        <f>A5</f>
        <v>M1 (Jan 26)</v>
      </c>
      <c r="J5" s="83">
        <f>SUM($B$5:B5)</f>
        <v>300000</v>
      </c>
      <c r="K5" s="83">
        <f>SUM($C$5:C5)</f>
        <v>300000</v>
      </c>
      <c r="L5" s="83">
        <f>SUM($D$5:D5)</f>
        <v>320000</v>
      </c>
    </row>
    <row r="6" spans="1:12" x14ac:dyDescent="0.35">
      <c r="A6" s="42" t="s">
        <v>267</v>
      </c>
      <c r="B6" s="64">
        <v>900000</v>
      </c>
      <c r="C6" s="64">
        <v>840000</v>
      </c>
      <c r="D6" s="64">
        <v>950000</v>
      </c>
      <c r="E6" s="64">
        <v>1270000</v>
      </c>
      <c r="F6" s="64">
        <v>25230000</v>
      </c>
      <c r="G6" s="82" t="s">
        <v>266</v>
      </c>
      <c r="I6" t="str">
        <f>A6</f>
        <v>M2 (Feb 26)</v>
      </c>
      <c r="J6" s="83">
        <f>SUM($B$5:B6)</f>
        <v>1200000</v>
      </c>
      <c r="K6" s="83">
        <f>SUM($C$5:C6)</f>
        <v>1140000</v>
      </c>
      <c r="L6" s="83">
        <f>SUM($D$5:D6)</f>
        <v>1270000</v>
      </c>
    </row>
    <row r="7" spans="1:12" x14ac:dyDescent="0.35">
      <c r="A7" s="41" t="s">
        <v>268</v>
      </c>
      <c r="B7" s="63">
        <v>2700000</v>
      </c>
      <c r="C7" s="63">
        <v>2260000</v>
      </c>
      <c r="D7" s="63">
        <v>2900000</v>
      </c>
      <c r="E7" s="63">
        <v>4170000</v>
      </c>
      <c r="F7" s="63">
        <v>22330000</v>
      </c>
      <c r="G7" s="82" t="s">
        <v>266</v>
      </c>
      <c r="I7" t="str">
        <f>A7</f>
        <v>M3 (Mar 26)</v>
      </c>
      <c r="J7" s="83">
        <f>SUM($B$5:B7)</f>
        <v>3900000</v>
      </c>
      <c r="K7" s="83">
        <f>SUM($C$5:C7)</f>
        <v>3400000</v>
      </c>
      <c r="L7" s="83">
        <f>SUM($D$5:D7)</f>
        <v>4170000</v>
      </c>
    </row>
    <row r="8" spans="1:12" x14ac:dyDescent="0.35">
      <c r="A8" s="42" t="s">
        <v>269</v>
      </c>
      <c r="B8" s="64">
        <v>3800000</v>
      </c>
      <c r="C8" s="64">
        <v>3520000</v>
      </c>
      <c r="D8" s="64">
        <v>4050000</v>
      </c>
      <c r="E8" s="64">
        <v>8220000</v>
      </c>
      <c r="F8" s="64">
        <v>18280000</v>
      </c>
      <c r="G8" s="82" t="s">
        <v>266</v>
      </c>
      <c r="I8" t="str">
        <f>A8</f>
        <v>M4 (Apr 26)</v>
      </c>
      <c r="J8" s="83">
        <f>SUM($B$5:B8)</f>
        <v>7700000</v>
      </c>
      <c r="K8" s="83">
        <f>SUM($C$5:C8)</f>
        <v>6920000</v>
      </c>
      <c r="L8" s="83">
        <f>SUM($D$5:D8)</f>
        <v>8220000</v>
      </c>
    </row>
    <row r="9" spans="1:12" x14ac:dyDescent="0.35">
      <c r="A9" s="41" t="s">
        <v>270</v>
      </c>
      <c r="B9" s="63">
        <v>3000000</v>
      </c>
      <c r="C9" s="63">
        <v>2900000</v>
      </c>
      <c r="D9" s="63">
        <v>3220000</v>
      </c>
      <c r="E9" s="63">
        <v>11440000</v>
      </c>
      <c r="F9" s="63">
        <v>15060000</v>
      </c>
      <c r="G9" s="82" t="s">
        <v>266</v>
      </c>
      <c r="I9" t="str">
        <f>A9</f>
        <v>M5 (May 26)</v>
      </c>
      <c r="J9" s="83">
        <f>SUM($B$5:B9)</f>
        <v>10700000</v>
      </c>
      <c r="K9" s="83">
        <f>SUM($C$5:C9)</f>
        <v>9820000</v>
      </c>
      <c r="L9" s="83">
        <f>SUM($D$5:D9)</f>
        <v>11440000</v>
      </c>
    </row>
    <row r="10" spans="1:12" x14ac:dyDescent="0.35">
      <c r="A10" s="42" t="s">
        <v>271</v>
      </c>
      <c r="B10" s="64">
        <v>4000000</v>
      </c>
      <c r="C10" s="64">
        <v>2750000</v>
      </c>
      <c r="D10" s="64">
        <v>4450000</v>
      </c>
      <c r="E10" s="64">
        <v>15890000</v>
      </c>
      <c r="F10" s="64">
        <v>10610000</v>
      </c>
      <c r="G10" s="71" t="s">
        <v>272</v>
      </c>
      <c r="I10" t="str">
        <f>A10</f>
        <v>M6 (Jun 26)</v>
      </c>
      <c r="J10" s="83">
        <f>SUM($B$5:B10)</f>
        <v>14700000</v>
      </c>
      <c r="K10" s="83">
        <f>SUM($C$5:C10)</f>
        <v>12570000</v>
      </c>
      <c r="L10" s="83">
        <f>SUM($D$5:D10)</f>
        <v>15890000</v>
      </c>
    </row>
    <row r="11" spans="1:12" x14ac:dyDescent="0.35">
      <c r="A11" s="41" t="s">
        <v>273</v>
      </c>
      <c r="B11" s="63">
        <v>3000000</v>
      </c>
      <c r="C11" s="63">
        <v>2620000</v>
      </c>
      <c r="D11" s="63">
        <v>3850000</v>
      </c>
      <c r="E11" s="63">
        <v>19740000</v>
      </c>
      <c r="F11" s="63">
        <v>6760000</v>
      </c>
      <c r="G11" s="71" t="s">
        <v>272</v>
      </c>
      <c r="I11" t="str">
        <f>A11</f>
        <v>M7 (Jul 26)</v>
      </c>
      <c r="J11" s="83">
        <f>SUM($B$5:B11)</f>
        <v>17700000</v>
      </c>
      <c r="K11" s="83">
        <f>SUM($C$5:C11)</f>
        <v>15190000</v>
      </c>
      <c r="L11" s="83">
        <f>SUM($D$5:D11)</f>
        <v>19740000</v>
      </c>
    </row>
    <row r="12" spans="1:12" x14ac:dyDescent="0.35">
      <c r="A12" s="42" t="s">
        <v>274</v>
      </c>
      <c r="B12" s="64">
        <v>2800000</v>
      </c>
      <c r="C12" s="64">
        <v>2350000</v>
      </c>
      <c r="D12" s="64">
        <v>3700000</v>
      </c>
      <c r="E12" s="64">
        <v>23440000</v>
      </c>
      <c r="F12" s="64">
        <v>3060000</v>
      </c>
      <c r="G12" s="75" t="s">
        <v>275</v>
      </c>
      <c r="I12" t="str">
        <f>A12</f>
        <v>M8 (Aug 26 - Now)</v>
      </c>
      <c r="J12" s="83">
        <f>SUM($B$5:B12)</f>
        <v>20500000</v>
      </c>
      <c r="K12" s="83">
        <f>SUM($C$5:C12)</f>
        <v>17540000</v>
      </c>
      <c r="L12" s="83">
        <f>SUM($D$5:D12)</f>
        <v>23440000</v>
      </c>
    </row>
    <row r="13" spans="1:12" x14ac:dyDescent="0.35">
      <c r="A13" s="41" t="s">
        <v>276</v>
      </c>
      <c r="B13" s="63">
        <v>2500000</v>
      </c>
      <c r="C13" s="63">
        <v>2100000</v>
      </c>
      <c r="D13" s="63">
        <v>3200000</v>
      </c>
      <c r="E13" s="63">
        <v>26640000</v>
      </c>
      <c r="F13" s="63">
        <v>-140000</v>
      </c>
      <c r="G13" s="75" t="s">
        <v>277</v>
      </c>
      <c r="I13" t="str">
        <f>A13</f>
        <v>M9 (Sep 26 - Burn)</v>
      </c>
      <c r="J13" s="83">
        <f>SUM($B$5:B13)</f>
        <v>23000000</v>
      </c>
      <c r="K13" s="83">
        <f>SUM($C$5:C13)</f>
        <v>19640000</v>
      </c>
      <c r="L13" s="83">
        <f>SUM($D$5:D13)</f>
        <v>26640000</v>
      </c>
    </row>
    <row r="14" spans="1:12" x14ac:dyDescent="0.35">
      <c r="A14" s="42" t="s">
        <v>278</v>
      </c>
      <c r="B14" s="64">
        <v>1500000</v>
      </c>
      <c r="C14" s="64">
        <v>2200000</v>
      </c>
      <c r="D14" s="64">
        <v>3300000</v>
      </c>
      <c r="E14" s="64">
        <v>29940000</v>
      </c>
      <c r="F14" s="64">
        <v>-3440000</v>
      </c>
      <c r="G14" s="75" t="s">
        <v>279</v>
      </c>
      <c r="I14" t="str">
        <f>A14</f>
        <v>M10 (Oct 26)</v>
      </c>
      <c r="J14" s="83">
        <f>SUM($B$5:B14)</f>
        <v>24500000</v>
      </c>
      <c r="K14" s="83">
        <f>SUM($C$5:C14)</f>
        <v>21840000</v>
      </c>
      <c r="L14" s="83">
        <f>SUM($D$5:D14)</f>
        <v>29940000</v>
      </c>
    </row>
    <row r="15" spans="1:12" x14ac:dyDescent="0.35">
      <c r="A15" s="41" t="s">
        <v>280</v>
      </c>
      <c r="B15" s="63">
        <v>1000000</v>
      </c>
      <c r="C15" s="63">
        <v>2000000</v>
      </c>
      <c r="D15" s="63">
        <v>2500000</v>
      </c>
      <c r="E15" s="63">
        <v>32440000</v>
      </c>
      <c r="F15" s="63">
        <v>-5940000</v>
      </c>
      <c r="G15" s="75" t="s">
        <v>279</v>
      </c>
      <c r="I15" t="str">
        <f>A15</f>
        <v>M11 (Nov 26)</v>
      </c>
      <c r="J15" s="83">
        <f>SUM($B$5:B15)</f>
        <v>25500000</v>
      </c>
      <c r="K15" s="83">
        <f>SUM($C$5:C15)</f>
        <v>23840000</v>
      </c>
      <c r="L15" s="83">
        <f>SUM($D$5:D15)</f>
        <v>32440000</v>
      </c>
    </row>
    <row r="16" spans="1:12" x14ac:dyDescent="0.35">
      <c r="A16" s="42" t="s">
        <v>281</v>
      </c>
      <c r="B16" s="64">
        <v>1000000</v>
      </c>
      <c r="C16" s="64">
        <v>1800000</v>
      </c>
      <c r="D16" s="64">
        <v>1800000</v>
      </c>
      <c r="E16" s="64">
        <v>34240000</v>
      </c>
      <c r="F16" s="64">
        <v>-7740000</v>
      </c>
      <c r="G16" s="75" t="s">
        <v>279</v>
      </c>
      <c r="I16" t="str">
        <f>A16</f>
        <v>M12 (Dec 26)</v>
      </c>
      <c r="J16" s="83">
        <f>SUM($B$5:B16)</f>
        <v>26500000</v>
      </c>
      <c r="K16" s="83">
        <f>SUM($C$5:C16)</f>
        <v>25640000</v>
      </c>
      <c r="L16" s="83">
        <f>SUM($D$5:D16)</f>
        <v>34240000</v>
      </c>
    </row>
    <row r="17" spans="1:12" x14ac:dyDescent="0.35">
      <c r="A17" s="41" t="s">
        <v>282</v>
      </c>
      <c r="B17" s="63">
        <v>0</v>
      </c>
      <c r="C17" s="63">
        <v>860000</v>
      </c>
      <c r="D17" s="63">
        <v>1173604</v>
      </c>
      <c r="E17" s="63">
        <v>35413604</v>
      </c>
      <c r="F17" s="63">
        <v>-8913604</v>
      </c>
      <c r="G17" s="75" t="s">
        <v>283</v>
      </c>
      <c r="I17" t="str">
        <f>A17</f>
        <v>M13 (Jan 27 - COD)</v>
      </c>
      <c r="J17" s="83">
        <f>SUM($B$5:B17)</f>
        <v>26500000</v>
      </c>
      <c r="K17" s="83">
        <f>SUM($C$5:C17)</f>
        <v>26500000</v>
      </c>
      <c r="L17" s="83">
        <f>SUM($D$5:D17)</f>
        <v>35413604</v>
      </c>
    </row>
  </sheetData>
  <mergeCells count="2">
    <mergeCell ref="A1:H1"/>
    <mergeCell ref="A2:H2"/>
  </mergeCell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2"/>
  <sheetViews>
    <sheetView workbookViewId="0">
      <selection sqref="A1:E1"/>
    </sheetView>
  </sheetViews>
  <sheetFormatPr defaultRowHeight="14.5" x14ac:dyDescent="0.35"/>
  <cols>
    <col min="1" max="1" width="36.36328125" customWidth="1"/>
    <col min="2" max="4" width="18.1796875" customWidth="1"/>
    <col min="5" max="5" width="36.36328125" customWidth="1"/>
  </cols>
  <sheetData>
    <row r="1" spans="1:5" ht="30" customHeight="1" x14ac:dyDescent="0.5">
      <c r="A1" s="8" t="s">
        <v>284</v>
      </c>
      <c r="B1" s="8"/>
      <c r="C1" s="8"/>
      <c r="D1" s="8"/>
      <c r="E1" s="8"/>
    </row>
    <row r="2" spans="1:5" x14ac:dyDescent="0.35">
      <c r="A2" s="40" t="s">
        <v>155</v>
      </c>
      <c r="B2" s="40"/>
      <c r="C2" s="40"/>
      <c r="D2" s="40"/>
      <c r="E2" s="40"/>
    </row>
    <row r="4" spans="1:5" x14ac:dyDescent="0.35">
      <c r="A4" s="11" t="s">
        <v>285</v>
      </c>
      <c r="B4" s="11" t="s">
        <v>286</v>
      </c>
      <c r="C4" s="11" t="s">
        <v>287</v>
      </c>
      <c r="D4" s="11" t="s">
        <v>288</v>
      </c>
      <c r="E4" s="11" t="s">
        <v>289</v>
      </c>
    </row>
    <row r="5" spans="1:5" x14ac:dyDescent="0.35">
      <c r="A5" s="41" t="s">
        <v>290</v>
      </c>
      <c r="B5" s="41" t="s">
        <v>291</v>
      </c>
      <c r="C5" s="65">
        <v>14899563</v>
      </c>
      <c r="D5" s="41" t="s">
        <v>292</v>
      </c>
      <c r="E5" s="51" t="s">
        <v>293</v>
      </c>
    </row>
    <row r="6" spans="1:5" x14ac:dyDescent="0.35">
      <c r="A6" s="42" t="s">
        <v>294</v>
      </c>
      <c r="B6" s="42" t="s">
        <v>295</v>
      </c>
      <c r="C6" s="66">
        <v>0.18859999999999999</v>
      </c>
      <c r="D6" s="42" t="s">
        <v>296</v>
      </c>
      <c r="E6" s="52" t="s">
        <v>297</v>
      </c>
    </row>
    <row r="7" spans="1:5" x14ac:dyDescent="0.35">
      <c r="A7" s="41" t="s">
        <v>298</v>
      </c>
      <c r="B7" s="41" t="s">
        <v>299</v>
      </c>
      <c r="C7" s="68">
        <v>4.43</v>
      </c>
      <c r="D7" s="41" t="s">
        <v>300</v>
      </c>
      <c r="E7" s="51" t="s">
        <v>301</v>
      </c>
    </row>
    <row r="8" spans="1:5" x14ac:dyDescent="0.35">
      <c r="A8" s="42" t="s">
        <v>302</v>
      </c>
      <c r="B8" s="42" t="s">
        <v>303</v>
      </c>
      <c r="C8" s="67">
        <v>1.42</v>
      </c>
      <c r="D8" s="42" t="s">
        <v>304</v>
      </c>
      <c r="E8" s="52" t="s">
        <v>305</v>
      </c>
    </row>
    <row r="9" spans="1:5" x14ac:dyDescent="0.35">
      <c r="A9" s="41" t="s">
        <v>306</v>
      </c>
      <c r="B9" s="41" t="s">
        <v>307</v>
      </c>
      <c r="C9" s="66">
        <v>1.3436999999999999</v>
      </c>
      <c r="D9" s="41" t="s">
        <v>296</v>
      </c>
      <c r="E9" s="51" t="s">
        <v>308</v>
      </c>
    </row>
    <row r="10" spans="1:5" x14ac:dyDescent="0.35">
      <c r="A10" s="42" t="s">
        <v>309</v>
      </c>
      <c r="B10" s="42" t="s">
        <v>310</v>
      </c>
      <c r="C10" s="66">
        <v>8.8900000000000007E-2</v>
      </c>
      <c r="D10" s="42" t="s">
        <v>311</v>
      </c>
      <c r="E10" s="52" t="s">
        <v>312</v>
      </c>
    </row>
    <row r="11" spans="1:5" x14ac:dyDescent="0.35">
      <c r="A11" s="41" t="s">
        <v>313</v>
      </c>
      <c r="B11" s="41" t="s">
        <v>314</v>
      </c>
      <c r="C11" s="65">
        <v>130499397</v>
      </c>
      <c r="D11" s="41" t="s">
        <v>292</v>
      </c>
      <c r="E11" s="51" t="s">
        <v>315</v>
      </c>
    </row>
    <row r="12" spans="1:5" x14ac:dyDescent="0.35">
      <c r="A12" s="42" t="s">
        <v>316</v>
      </c>
      <c r="B12" s="42" t="s">
        <v>317</v>
      </c>
      <c r="C12" s="65">
        <v>38645628</v>
      </c>
      <c r="D12" s="42" t="s">
        <v>292</v>
      </c>
      <c r="E12" s="52" t="s">
        <v>318</v>
      </c>
    </row>
  </sheetData>
  <mergeCells count="2">
    <mergeCell ref="A1:E1"/>
    <mergeCell ref="A2:E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"/>
  <sheetViews>
    <sheetView topLeftCell="A2" workbookViewId="0">
      <selection sqref="A1:H1"/>
    </sheetView>
  </sheetViews>
  <sheetFormatPr defaultRowHeight="14.5" x14ac:dyDescent="0.35"/>
  <cols>
    <col min="1" max="1" width="13.6328125" customWidth="1"/>
    <col min="2" max="2" width="21.81640625" customWidth="1"/>
    <col min="3" max="5" width="19.08984375" customWidth="1"/>
    <col min="6" max="8" width="17.26953125" customWidth="1"/>
    <col min="9" max="13" width="12.7265625" customWidth="1"/>
  </cols>
  <sheetData>
    <row r="1" spans="1:13" ht="30" customHeight="1" x14ac:dyDescent="0.5">
      <c r="A1" s="8" t="s">
        <v>319</v>
      </c>
      <c r="B1" s="8"/>
      <c r="C1" s="8"/>
      <c r="D1" s="8"/>
      <c r="E1" s="8"/>
      <c r="F1" s="8"/>
      <c r="G1" s="8"/>
      <c r="H1" s="8"/>
    </row>
    <row r="2" spans="1:13" x14ac:dyDescent="0.35">
      <c r="A2" s="40" t="s">
        <v>155</v>
      </c>
      <c r="B2" s="40"/>
      <c r="C2" s="40"/>
      <c r="D2" s="40"/>
      <c r="E2" s="40"/>
      <c r="F2" s="40"/>
      <c r="G2" s="40"/>
      <c r="H2" s="40"/>
    </row>
    <row r="4" spans="1:13" x14ac:dyDescent="0.35">
      <c r="A4" s="11" t="s">
        <v>320</v>
      </c>
      <c r="B4" s="11" t="s">
        <v>321</v>
      </c>
      <c r="C4" s="11" t="s">
        <v>322</v>
      </c>
      <c r="D4" s="11" t="s">
        <v>323</v>
      </c>
      <c r="E4" s="11" t="s">
        <v>324</v>
      </c>
      <c r="F4" s="11" t="s">
        <v>325</v>
      </c>
      <c r="G4" s="11" t="s">
        <v>326</v>
      </c>
      <c r="H4" s="11" t="s">
        <v>327</v>
      </c>
      <c r="I4" t="s">
        <v>320</v>
      </c>
      <c r="J4" t="s">
        <v>371</v>
      </c>
      <c r="L4" t="s">
        <v>320</v>
      </c>
      <c r="M4" t="s">
        <v>372</v>
      </c>
    </row>
    <row r="5" spans="1:13" x14ac:dyDescent="0.35">
      <c r="A5" s="41" t="s">
        <v>328</v>
      </c>
      <c r="B5" s="41" t="s">
        <v>329</v>
      </c>
      <c r="C5" s="63">
        <v>32444302</v>
      </c>
      <c r="D5" s="63">
        <v>-5944302</v>
      </c>
      <c r="E5" s="63">
        <v>0</v>
      </c>
      <c r="F5" s="69">
        <v>408.1</v>
      </c>
      <c r="G5" s="43" t="s">
        <v>330</v>
      </c>
      <c r="H5" s="69">
        <v>43.1</v>
      </c>
      <c r="I5" t="str">
        <f>A5</f>
        <v>P10</v>
      </c>
      <c r="J5" s="83">
        <f>C5</f>
        <v>32444302</v>
      </c>
      <c r="L5" t="str">
        <f>A5</f>
        <v>P10</v>
      </c>
      <c r="M5" s="84">
        <f>F5</f>
        <v>408.1</v>
      </c>
    </row>
    <row r="6" spans="1:13" x14ac:dyDescent="0.35">
      <c r="A6" s="42" t="s">
        <v>331</v>
      </c>
      <c r="B6" s="42" t="s">
        <v>332</v>
      </c>
      <c r="C6" s="64">
        <v>34060783</v>
      </c>
      <c r="D6" s="64">
        <v>-7560783</v>
      </c>
      <c r="E6" s="64">
        <v>0</v>
      </c>
      <c r="F6" s="70">
        <v>422.3</v>
      </c>
      <c r="G6" s="44" t="s">
        <v>333</v>
      </c>
      <c r="H6" s="70">
        <v>57.3</v>
      </c>
      <c r="I6" t="str">
        <f>A6</f>
        <v>P50</v>
      </c>
      <c r="J6" s="83">
        <f>C6</f>
        <v>34060783</v>
      </c>
      <c r="L6" t="str">
        <f>A6</f>
        <v>P50</v>
      </c>
      <c r="M6" s="84">
        <f>F6</f>
        <v>422.3</v>
      </c>
    </row>
    <row r="7" spans="1:13" x14ac:dyDescent="0.35">
      <c r="A7" s="41" t="s">
        <v>334</v>
      </c>
      <c r="B7" s="41" t="s">
        <v>335</v>
      </c>
      <c r="C7" s="63">
        <v>35195026</v>
      </c>
      <c r="D7" s="63">
        <v>-8695026</v>
      </c>
      <c r="E7" s="63">
        <v>0</v>
      </c>
      <c r="F7" s="69">
        <v>432.3</v>
      </c>
      <c r="G7" s="43" t="s">
        <v>336</v>
      </c>
      <c r="H7" s="69">
        <v>67.3</v>
      </c>
      <c r="I7" t="str">
        <f>A7</f>
        <v>P80</v>
      </c>
      <c r="J7" s="83">
        <f>C7</f>
        <v>35195026</v>
      </c>
      <c r="L7" t="str">
        <f>A7</f>
        <v>P80</v>
      </c>
      <c r="M7" s="84">
        <f>F7</f>
        <v>432.3</v>
      </c>
    </row>
    <row r="8" spans="1:13" x14ac:dyDescent="0.35">
      <c r="A8" s="71" t="s">
        <v>337</v>
      </c>
      <c r="B8" s="71" t="s">
        <v>338</v>
      </c>
      <c r="C8" s="72">
        <v>35815202</v>
      </c>
      <c r="D8" s="72">
        <v>-9315202</v>
      </c>
      <c r="E8" s="72">
        <v>401598</v>
      </c>
      <c r="F8" s="73">
        <v>437.5</v>
      </c>
      <c r="G8" s="74" t="s">
        <v>339</v>
      </c>
      <c r="H8" s="73">
        <v>72.5</v>
      </c>
      <c r="I8" t="str">
        <f>A8</f>
        <v>P90</v>
      </c>
      <c r="J8" s="83">
        <f>C8</f>
        <v>35815202</v>
      </c>
      <c r="L8" t="str">
        <f>A8</f>
        <v>P90</v>
      </c>
      <c r="M8" s="84">
        <f>F8</f>
        <v>437.5</v>
      </c>
    </row>
    <row r="9" spans="1:13" x14ac:dyDescent="0.35">
      <c r="A9" s="75" t="s">
        <v>340</v>
      </c>
      <c r="B9" s="75" t="s">
        <v>341</v>
      </c>
      <c r="C9" s="76">
        <v>36272986</v>
      </c>
      <c r="D9" s="76">
        <v>-9772986</v>
      </c>
      <c r="E9" s="76">
        <v>859382</v>
      </c>
      <c r="F9" s="77">
        <v>441.6</v>
      </c>
      <c r="G9" s="78" t="s">
        <v>342</v>
      </c>
      <c r="H9" s="77">
        <v>76.599999999999994</v>
      </c>
      <c r="I9" t="str">
        <f>A9</f>
        <v>P95</v>
      </c>
      <c r="J9" s="83">
        <f>C9</f>
        <v>36272986</v>
      </c>
      <c r="L9" t="str">
        <f>A9</f>
        <v>P95</v>
      </c>
      <c r="M9" s="84">
        <f>F9</f>
        <v>441.6</v>
      </c>
    </row>
  </sheetData>
  <mergeCells count="2">
    <mergeCell ref="A1:H1"/>
    <mergeCell ref="A2:H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Executive_Dashboard</vt:lpstr>
      <vt:lpstr>PV_Baseline</vt:lpstr>
      <vt:lpstr>EV_Progress</vt:lpstr>
      <vt:lpstr>AC_Actuals</vt:lpstr>
      <vt:lpstr>Gantt_Schedule</vt:lpstr>
      <vt:lpstr>Key_Milestones</vt:lpstr>
      <vt:lpstr>Risk_Register</vt:lpstr>
      <vt:lpstr>Waterfall_Bridge</vt:lpstr>
      <vt:lpstr>Cash_Burn_Rate</vt:lpstr>
      <vt:lpstr>Financial_Ratios</vt:lpstr>
      <vt:lpstr>Monte_Carlo_P90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Frank Ellingsen</cp:lastModifiedBy>
  <dcterms:created xsi:type="dcterms:W3CDTF">2026-08-13T05:40:04Z</dcterms:created>
  <dcterms:modified xsi:type="dcterms:W3CDTF">2026-08-13T06:15:08Z</dcterms:modified>
</cp:coreProperties>
</file>